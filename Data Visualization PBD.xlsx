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iusArcaTestam\Downloads\"/>
    </mc:Choice>
  </mc:AlternateContent>
  <xr:revisionPtr revIDLastSave="0" documentId="8_{C3EFFE35-971B-4AF6-A72E-0CD5A0DDB534}" xr6:coauthVersionLast="47" xr6:coauthVersionMax="47" xr10:uidLastSave="{00000000-0000-0000-0000-000000000000}"/>
  <bookViews>
    <workbookView xWindow="-28920" yWindow="960" windowWidth="29040" windowHeight="15720" xr2:uid="{D2F8C647-F140-FB4D-84E3-E031429BCBB3}"/>
  </bookViews>
  <sheets>
    <sheet name="Compile" sheetId="1" r:id="rId1"/>
    <sheet name="Heatmap" sheetId="18" r:id="rId2"/>
    <sheet name="KN" sheetId="16" r:id="rId3"/>
    <sheet name="PKM" sheetId="15" r:id="rId4"/>
    <sheet name="Nakes" sheetId="14" r:id="rId5"/>
    <sheet name="Stunting2024" sheetId="2" r:id="rId6"/>
    <sheet name="TalakResp" sheetId="12" r:id="rId7"/>
    <sheet name="ANC" sheetId="10" r:id="rId8"/>
    <sheet name="ANC2" sheetId="13" r:id="rId9"/>
    <sheet name="BirthFaskes" sheetId="11" r:id="rId10"/>
    <sheet name="IKP" sheetId="3" r:id="rId11"/>
    <sheet name="IRBI2025" sheetId="4" r:id="rId12"/>
    <sheet name="OtherInfo" sheetId="5" r:id="rId13"/>
    <sheet name="Faskes" sheetId="6" r:id="rId14"/>
    <sheet name="BirthNakes" sheetId="7" r:id="rId15"/>
    <sheet name="Diseases" sheetId="9" r:id="rId16"/>
    <sheet name="TBCTreatment" sheetId="17" r:id="rId17"/>
    <sheet name="IDL" sheetId="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8" l="1"/>
  <c r="L4" i="18"/>
  <c r="L5" i="18"/>
  <c r="L6" i="18"/>
  <c r="L7" i="18"/>
  <c r="L2" i="18"/>
  <c r="K3" i="18"/>
  <c r="K4" i="18"/>
  <c r="K5" i="18"/>
  <c r="K6" i="18"/>
  <c r="K7" i="18"/>
  <c r="K2" i="18"/>
  <c r="J3" i="18"/>
  <c r="J4" i="18"/>
  <c r="J5" i="18"/>
  <c r="J6" i="18"/>
  <c r="J7" i="18"/>
  <c r="J2" i="18"/>
  <c r="I3" i="18"/>
  <c r="I4" i="18"/>
  <c r="I5" i="18"/>
  <c r="I6" i="18"/>
  <c r="I7" i="18"/>
  <c r="I2" i="18"/>
  <c r="H3" i="18"/>
  <c r="H4" i="18"/>
  <c r="H5" i="18"/>
  <c r="H6" i="18"/>
  <c r="H7" i="18"/>
  <c r="H2" i="18"/>
  <c r="G3" i="18"/>
  <c r="G4" i="18"/>
  <c r="G5" i="18"/>
  <c r="G6" i="18"/>
  <c r="G7" i="18"/>
  <c r="G2" i="18"/>
  <c r="F3" i="18"/>
  <c r="F4" i="18"/>
  <c r="F5" i="18"/>
  <c r="F6" i="18"/>
  <c r="F7" i="18"/>
  <c r="F2" i="18"/>
  <c r="E3" i="18"/>
  <c r="E4" i="18"/>
  <c r="E5" i="18"/>
  <c r="E6" i="18"/>
  <c r="E7" i="18"/>
  <c r="E2" i="18"/>
  <c r="D3" i="18"/>
  <c r="D4" i="18"/>
  <c r="D5" i="18"/>
  <c r="D6" i="18"/>
  <c r="D7" i="18"/>
  <c r="D2" i="18"/>
  <c r="C3" i="18"/>
  <c r="C4" i="18"/>
  <c r="C5" i="18"/>
  <c r="C6" i="18"/>
  <c r="C7" i="18"/>
  <c r="C2" i="18"/>
  <c r="AL1" i="1"/>
  <c r="AM1" i="1"/>
  <c r="AN1" i="1"/>
  <c r="AB1" i="1"/>
  <c r="AC1" i="1"/>
  <c r="AD1" i="1"/>
  <c r="AE1" i="1"/>
  <c r="AF1" i="1"/>
  <c r="AG1" i="1"/>
  <c r="AH1" i="1"/>
  <c r="AI1" i="1"/>
  <c r="AJ1" i="1"/>
  <c r="AK1" i="1"/>
  <c r="W1" i="1"/>
  <c r="X1" i="1"/>
  <c r="Y1" i="1"/>
  <c r="Z1" i="1"/>
  <c r="AA1" i="1"/>
  <c r="V1" i="1"/>
  <c r="I3" i="1" l="1"/>
  <c r="I4" i="1"/>
  <c r="I5" i="1"/>
  <c r="I6" i="1"/>
  <c r="I7" i="1"/>
  <c r="I2" i="1"/>
  <c r="O3" i="1"/>
  <c r="P3" i="1"/>
  <c r="O4" i="1"/>
  <c r="P4" i="1"/>
  <c r="O5" i="1"/>
  <c r="P5" i="1"/>
  <c r="O6" i="1"/>
  <c r="P6" i="1"/>
  <c r="AI6" i="1" s="1"/>
  <c r="O7" i="1"/>
  <c r="P7" i="1"/>
  <c r="P2" i="1"/>
  <c r="O2" i="1"/>
  <c r="J3" i="1"/>
  <c r="K3" i="1"/>
  <c r="L3" i="1"/>
  <c r="M3" i="1"/>
  <c r="N3" i="1"/>
  <c r="J4" i="1"/>
  <c r="K4" i="1"/>
  <c r="L4" i="1"/>
  <c r="M4" i="1"/>
  <c r="N4" i="1"/>
  <c r="AG4" i="1" s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AF7" i="1" s="1"/>
  <c r="N7" i="1"/>
  <c r="N2" i="1"/>
  <c r="M2" i="1"/>
  <c r="L2" i="1"/>
  <c r="K2" i="1"/>
  <c r="J2" i="1"/>
  <c r="H3" i="1"/>
  <c r="H4" i="1"/>
  <c r="H5" i="1"/>
  <c r="H6" i="1"/>
  <c r="H7" i="1"/>
  <c r="H2" i="1"/>
  <c r="G3" i="1"/>
  <c r="G4" i="1"/>
  <c r="Z4" i="1" s="1"/>
  <c r="G5" i="1"/>
  <c r="G6" i="1"/>
  <c r="G7" i="1"/>
  <c r="G2" i="1"/>
  <c r="F3" i="1"/>
  <c r="F4" i="1"/>
  <c r="F5" i="1"/>
  <c r="F6" i="1"/>
  <c r="F7" i="1"/>
  <c r="F2" i="1"/>
  <c r="S2" i="1"/>
  <c r="U3" i="1"/>
  <c r="U4" i="1"/>
  <c r="U5" i="1"/>
  <c r="AN5" i="1" s="1"/>
  <c r="U6" i="1"/>
  <c r="U7" i="1"/>
  <c r="U2" i="1"/>
  <c r="E3" i="1"/>
  <c r="E4" i="1"/>
  <c r="E5" i="1"/>
  <c r="E6" i="1"/>
  <c r="E7" i="1"/>
  <c r="E2" i="1"/>
  <c r="T3" i="1"/>
  <c r="T4" i="1"/>
  <c r="T5" i="1"/>
  <c r="T6" i="1"/>
  <c r="T7" i="1"/>
  <c r="AM7" i="1" s="1"/>
  <c r="T2" i="1"/>
  <c r="S3" i="1"/>
  <c r="S4" i="1"/>
  <c r="S5" i="1"/>
  <c r="S6" i="1"/>
  <c r="S7" i="1"/>
  <c r="R3" i="1"/>
  <c r="R4" i="1"/>
  <c r="R5" i="1"/>
  <c r="R6" i="1"/>
  <c r="R7" i="1"/>
  <c r="R2" i="1"/>
  <c r="Q3" i="1"/>
  <c r="Q4" i="1"/>
  <c r="AJ4" i="1" s="1"/>
  <c r="Q5" i="1"/>
  <c r="Q6" i="1"/>
  <c r="Q7" i="1"/>
  <c r="Q2" i="1"/>
  <c r="D7" i="1"/>
  <c r="M5" i="7"/>
  <c r="M3" i="7"/>
  <c r="L9" i="7"/>
  <c r="M9" i="7" s="1"/>
  <c r="L7" i="7"/>
  <c r="M7" i="7" s="1"/>
  <c r="L6" i="7"/>
  <c r="M6" i="7" s="1"/>
  <c r="L4" i="7"/>
  <c r="D3" i="1" s="1"/>
  <c r="L3" i="7"/>
  <c r="D2" i="1" s="1"/>
  <c r="L5" i="7"/>
  <c r="D4" i="1" s="1"/>
  <c r="L10" i="7"/>
  <c r="M10" i="7" s="1"/>
  <c r="C3" i="1"/>
  <c r="C4" i="1"/>
  <c r="C5" i="1"/>
  <c r="C6" i="1"/>
  <c r="C7" i="1"/>
  <c r="C2" i="1"/>
  <c r="V2" i="1" l="1"/>
  <c r="AB2" i="1"/>
  <c r="V4" i="1"/>
  <c r="AE7" i="1"/>
  <c r="AH6" i="1"/>
  <c r="AK2" i="1"/>
  <c r="AA2" i="1"/>
  <c r="AD7" i="1"/>
  <c r="AC2" i="1"/>
  <c r="Y4" i="1"/>
  <c r="AL3" i="1"/>
  <c r="AN3" i="1"/>
  <c r="AI5" i="1"/>
  <c r="AM5" i="1"/>
  <c r="AE4" i="1"/>
  <c r="AK7" i="1"/>
  <c r="AA7" i="1"/>
  <c r="AH5" i="1"/>
  <c r="AK6" i="1"/>
  <c r="Y2" i="1"/>
  <c r="AA6" i="1"/>
  <c r="AI4" i="1"/>
  <c r="Y7" i="1"/>
  <c r="AF6" i="1"/>
  <c r="AH4" i="1"/>
  <c r="Y6" i="1"/>
  <c r="AA4" i="1"/>
  <c r="AE6" i="1"/>
  <c r="AF3" i="1"/>
  <c r="AI3" i="1"/>
  <c r="Z3" i="1"/>
  <c r="AF4" i="1"/>
  <c r="AM4" i="1"/>
  <c r="AL2" i="1"/>
  <c r="AC7" i="1"/>
  <c r="AD4" i="1"/>
  <c r="AM3" i="1"/>
  <c r="AG6" i="1"/>
  <c r="AC4" i="1"/>
  <c r="AK5" i="1"/>
  <c r="AA5" i="1"/>
  <c r="AG3" i="1"/>
  <c r="AK4" i="1"/>
  <c r="X7" i="1"/>
  <c r="AK3" i="1"/>
  <c r="Y5" i="1"/>
  <c r="AA3" i="1"/>
  <c r="AD6" i="1"/>
  <c r="AE3" i="1"/>
  <c r="AH3" i="1"/>
  <c r="AJ3" i="1"/>
  <c r="V7" i="1"/>
  <c r="AC3" i="1"/>
  <c r="AB7" i="1"/>
  <c r="AM6" i="1"/>
  <c r="AC6" i="1"/>
  <c r="AD3" i="1"/>
  <c r="AL6" i="1"/>
  <c r="Y3" i="1"/>
  <c r="AD2" i="1"/>
  <c r="AG5" i="1"/>
  <c r="V6" i="1"/>
  <c r="AJ2" i="1"/>
  <c r="AL5" i="1"/>
  <c r="Z2" i="1"/>
  <c r="AE2" i="1"/>
  <c r="AF5" i="1"/>
  <c r="AH2" i="1"/>
  <c r="AB6" i="1"/>
  <c r="AL7" i="1"/>
  <c r="V5" i="1"/>
  <c r="AJ7" i="1"/>
  <c r="AL4" i="1"/>
  <c r="AN2" i="1"/>
  <c r="Z7" i="1"/>
  <c r="AF2" i="1"/>
  <c r="AE5" i="1"/>
  <c r="AI2" i="1"/>
  <c r="AB5" i="1"/>
  <c r="AN7" i="1"/>
  <c r="Z6" i="1"/>
  <c r="AG2" i="1"/>
  <c r="AD5" i="1"/>
  <c r="AI7" i="1"/>
  <c r="AB4" i="1"/>
  <c r="AN4" i="1"/>
  <c r="AJ6" i="1"/>
  <c r="V3" i="1"/>
  <c r="AJ5" i="1"/>
  <c r="AM2" i="1"/>
  <c r="AN6" i="1"/>
  <c r="Z5" i="1"/>
  <c r="AG7" i="1"/>
  <c r="AC5" i="1"/>
  <c r="AH7" i="1"/>
  <c r="AB3" i="1"/>
  <c r="X6" i="1"/>
  <c r="X5" i="1"/>
  <c r="X2" i="1"/>
  <c r="X4" i="1"/>
  <c r="X3" i="1"/>
  <c r="M4" i="7"/>
  <c r="D6" i="1"/>
  <c r="D5" i="1"/>
  <c r="W5" i="1" s="1"/>
  <c r="W2" i="1" l="1"/>
  <c r="W6" i="1"/>
  <c r="W7" i="1"/>
  <c r="W3" i="1"/>
  <c r="W4" i="1"/>
</calcChain>
</file>

<file path=xl/sharedStrings.xml><?xml version="1.0" encoding="utf-8"?>
<sst xmlns="http://schemas.openxmlformats.org/spreadsheetml/2006/main" count="450" uniqueCount="214">
  <si>
    <t>Kabupaten / Kota</t>
  </si>
  <si>
    <t>Stunting (%)</t>
  </si>
  <si>
    <t>Stunting (95% CI)</t>
  </si>
  <si>
    <t>Underweight (%)</t>
  </si>
  <si>
    <t>Underweight (95% CI)</t>
  </si>
  <si>
    <t>Severe Wasting (%)</t>
  </si>
  <si>
    <t>Severe Wasting (95% CI)</t>
  </si>
  <si>
    <t>Wasting (%)</t>
  </si>
  <si>
    <t>Wasting (95% CI)</t>
  </si>
  <si>
    <t>Overweight (%)</t>
  </si>
  <si>
    <t>Overweight (95% CI)</t>
  </si>
  <si>
    <t>Raja Ampat</t>
  </si>
  <si>
    <t>Sorong</t>
  </si>
  <si>
    <t>Sorong Selatan</t>
  </si>
  <si>
    <t>Maybrat</t>
  </si>
  <si>
    <t>Tambrauw</t>
  </si>
  <si>
    <t>Kota Sorong</t>
  </si>
  <si>
    <t>SSGI 2024</t>
  </si>
  <si>
    <t>NAMA PROVINSI</t>
  </si>
  <si>
    <t>KODE KAB/KOTA</t>
  </si>
  <si>
    <t>NAMA KABUPATEN</t>
  </si>
  <si>
    <t>TIPE</t>
  </si>
  <si>
    <t>TAHUN</t>
  </si>
  <si>
    <t>IKP</t>
  </si>
  <si>
    <t>PERINGKAT KAB/KOTA</t>
  </si>
  <si>
    <t>KELOMPOK IKP</t>
  </si>
  <si>
    <t>Papua Barat</t>
  </si>
  <si>
    <t>Kota</t>
  </si>
  <si>
    <t>Pegunungan Arfak</t>
  </si>
  <si>
    <t>Kabupaten</t>
  </si>
  <si>
    <t>Manokwari Selatan</t>
  </si>
  <si>
    <t>Manokwari</t>
  </si>
  <si>
    <t>Teluk Bintuni</t>
  </si>
  <si>
    <t>Teluk Wondama</t>
  </si>
  <si>
    <t>Kaimana</t>
  </si>
  <si>
    <t>Fak-Fak</t>
  </si>
  <si>
    <t>32.1 - 43.1</t>
  </si>
  <si>
    <t>27.9 - 40.1</t>
  </si>
  <si>
    <t>2.8 - 6.9</t>
  </si>
  <si>
    <t>7.9 - 13.9</t>
  </si>
  <si>
    <t>0.4 - 2.2</t>
  </si>
  <si>
    <t>19.1 - 32.4</t>
  </si>
  <si>
    <t>17.9 - 30.4</t>
  </si>
  <si>
    <t>0.2 - 2.0</t>
  </si>
  <si>
    <t>7.2 - 14.6</t>
  </si>
  <si>
    <t>2.5 - 6.5</t>
  </si>
  <si>
    <t>26.5 - 36.5</t>
  </si>
  <si>
    <t>24.3 - 37.1</t>
  </si>
  <si>
    <t>2.4 - 7.4</t>
  </si>
  <si>
    <t>11.7 - 21.8</t>
  </si>
  <si>
    <t>1.3 - 5.2</t>
  </si>
  <si>
    <t>23.5 - 37.8</t>
  </si>
  <si>
    <t>17.2 - 30.9</t>
  </si>
  <si>
    <t>0.0 - 2.9</t>
  </si>
  <si>
    <t>4.1 - 8.6</t>
  </si>
  <si>
    <t>0.7 - 1.9</t>
  </si>
  <si>
    <t>31.6 - 44.1</t>
  </si>
  <si>
    <t>19.1 - 33.9</t>
  </si>
  <si>
    <t>0.6 - 3.9</t>
  </si>
  <si>
    <t>6.0 - 11.5</t>
  </si>
  <si>
    <t>0.6 - 1.7</t>
  </si>
  <si>
    <t>24.8 - 34.2</t>
  </si>
  <si>
    <t>25.2 - 35.8</t>
  </si>
  <si>
    <t>2.9 - 9.6</t>
  </si>
  <si>
    <t>5.8 - 11.1</t>
  </si>
  <si>
    <t>0.8 - 3.0</t>
  </si>
  <si>
    <t>NO</t>
  </si>
  <si>
    <t>WILAYAH</t>
  </si>
  <si>
    <t>2025(SEB)</t>
  </si>
  <si>
    <t>Trend</t>
  </si>
  <si>
    <t>▲</t>
  </si>
  <si>
    <t>▼</t>
  </si>
  <si>
    <t>Kabupaten/Kota</t>
  </si>
  <si>
    <t>Rumah Sakit 2024</t>
  </si>
  <si>
    <t>Rumah Sakit 2025</t>
  </si>
  <si>
    <t>Rumah Sakit Bersalin 2024</t>
  </si>
  <si>
    <t>Rumah Sakit Bersalin 2025</t>
  </si>
  <si>
    <t>Poliklinik 2024</t>
  </si>
  <si>
    <t>Poliklinik 2025</t>
  </si>
  <si>
    <t>Puskesmas 2021</t>
  </si>
  <si>
    <t>Puskesmas 2024</t>
  </si>
  <si>
    <t>Puskesmas Pembantu 2024</t>
  </si>
  <si>
    <t>Puskesmas Pembantu 2025</t>
  </si>
  <si>
    <t>Apotek 2024</t>
  </si>
  <si>
    <t>Apotek 2025</t>
  </si>
  <si>
    <t>Kabupaten/Regency</t>
  </si>
  <si>
    <t>-</t>
  </si>
  <si>
    <t>Kota/Municipality</t>
  </si>
  <si>
    <t>Papua Barat Daya</t>
  </si>
  <si>
    <t>BPS PAPUA BARAT DAYA PROVINCE IN FIGURES 2026</t>
  </si>
  <si>
    <t>Dokter 2024</t>
  </si>
  <si>
    <t>Dokter 2025</t>
  </si>
  <si>
    <t>Bidan 2024</t>
  </si>
  <si>
    <t>Bidan 2025</t>
  </si>
  <si>
    <t>Tenaga Kesehatan Lain 2024</t>
  </si>
  <si>
    <t>Tenaga Kesehatan Lain 2025</t>
  </si>
  <si>
    <t>Dukun 2024</t>
  </si>
  <si>
    <t>Dukun 2025</t>
  </si>
  <si>
    <t>Lainnya 2024</t>
  </si>
  <si>
    <t>Lainnya 2025</t>
  </si>
  <si>
    <t>Jumlah 2024</t>
  </si>
  <si>
    <t>Jumlah 2025</t>
  </si>
  <si>
    <t>NA</t>
  </si>
  <si>
    <t>–</t>
  </si>
  <si>
    <t>Percent Distribution of Ever Married Women Aged 15-49 Years Who Were Married or Had Ever Been Married and
Who Had Live Birth Within the Last Two Years by Regency/
Municipality and Type of Person Providing Assistance
During Delivery of the Last Birth in Papua Barat Daya
Province, 2024 and 2025</t>
  </si>
  <si>
    <t>Percentage of Children Age 12-23 Months Who Had Received
Complete Basic Immunization by Regency/Municipality in Papua Barat Daya Province, 2024-2025</t>
  </si>
  <si>
    <t>Catatan/Note:
1 Dokter kandungan dan dokter umum/Obstetrician and general practice doctor
2 Termasuk tidak ada penolong Persalinan/Including not using a birth attender
Sumber/Source: Badan Pusat Statistik, Survei Sosial Ekonomi Nasional (Susenas)/BPS–Statistics Indonesia, National Socioeconomic
Survey</t>
  </si>
  <si>
    <t>Angka Penemuan dan Pengobatan TBC (%)</t>
  </si>
  <si>
    <t>Angka Keberhasilan Pengobatan TBC (%)</t>
  </si>
  <si>
    <t>Jumlah Kasus Baru AIDS</t>
  </si>
  <si>
    <t>Penemuan Kasus Baru Kusta per 100.000 Penduduk</t>
  </si>
  <si>
    <t>Angka Kesakitan Malaria per 1.000 Penduduk</t>
  </si>
  <si>
    <t>Angka Kesakitan DBD per 100.000 Penduduk</t>
  </si>
  <si>
    <t>No</t>
  </si>
  <si>
    <t>KabKota</t>
  </si>
  <si>
    <t>Malaria</t>
  </si>
  <si>
    <t>Dengue</t>
  </si>
  <si>
    <t>NakesApapun</t>
  </si>
  <si>
    <t>DukunDanLainnya</t>
  </si>
  <si>
    <t>Kusta</t>
  </si>
  <si>
    <t>IRBI</t>
  </si>
  <si>
    <t>Cakupan_K1</t>
  </si>
  <si>
    <t>Cakupan_K4</t>
  </si>
  <si>
    <t>Cakupan_K6</t>
  </si>
  <si>
    <t>SORONG SELATAN</t>
  </si>
  <si>
    <t>SORONG</t>
  </si>
  <si>
    <t>RAJA AMPAT</t>
  </si>
  <si>
    <t>TAMBRAUW</t>
  </si>
  <si>
    <t>MAYBRAT</t>
  </si>
  <si>
    <t>KOTA SORONG</t>
  </si>
  <si>
    <t>Jumlah</t>
  </si>
  <si>
    <t>Cakupan K1, K4 dan K6 Menurut Kabupaten/Kota
Provinsi Papua Barat Daya Tahun 2022</t>
  </si>
  <si>
    <t>Cakupan K1</t>
  </si>
  <si>
    <t xml:space="preserve"> K4 dan K6 Menurut Kabupaten/Kota</t>
  </si>
  <si>
    <t>Provinsi Papua Barat Daya Tahun 2022</t>
  </si>
  <si>
    <t>Persentase Balita Batuk/Kesukaran Sesuai Tatalaksana Standar Minimal</t>
  </si>
  <si>
    <t>Prov. Papua Barat Daya</t>
  </si>
  <si>
    <t>DATA KODE WILAYAH</t>
  </si>
  <si>
    <t>KABUPATEN/KOTA</t>
  </si>
  <si>
    <t>PUSKESMAS</t>
  </si>
  <si>
    <t>IBU HAMIL_JUMLAH</t>
  </si>
  <si>
    <t>IBU HAMIL_K1_JUMLAH</t>
  </si>
  <si>
    <t>IBU HAMIL_K1_%</t>
  </si>
  <si>
    <t>IBU HAMIL_K4_JUMLAH</t>
  </si>
  <si>
    <t>IBU HAMIL_K4_%</t>
  </si>
  <si>
    <t>IBU HAMIL_K6_JUMLAH</t>
  </si>
  <si>
    <t>IBU HAMIL_K6_%</t>
  </si>
  <si>
    <t>IBU BERSALIN/NIFAS_JUMLAH</t>
  </si>
  <si>
    <t>IBU BERSALIN/NIFAS_PERSALINAN DI FASYANKES_JUMLAH</t>
  </si>
  <si>
    <t>IBU BERSALIN/NIFAS_PERSALINAN DI FASYANKES_%</t>
  </si>
  <si>
    <t>IBU BERSALIN/NIFAS_KF1_JUMLAH</t>
  </si>
  <si>
    <t>IBU BERSALIN/NIFAS_KF1_%</t>
  </si>
  <si>
    <t>IBU BERSALIN/NIFAS_KF LENGKAP_JUMLAH</t>
  </si>
  <si>
    <t>IBU BERSALIN/NIFAS_KF LENGKAP_%</t>
  </si>
  <si>
    <t>IBU BERSALIN/NIFAS_IBU NIFAS MENDAPAT VIT A_JUMLAH</t>
  </si>
  <si>
    <t>IBU BERSALIN/NIFAS_IBU NIFAS MENDAPAT VIT A_%</t>
  </si>
  <si>
    <t>JUMLAH (PROVINSI PAPUA BARAT DAYA)</t>
  </si>
  <si>
    <t xml:space="preserve">Cakupan pelayanan kesehatan pada ibu hamil, ibu bersalin, dan
ibu nifas menurut Kabupaten/Kota Provinsi Papua Barat Daya
tahun 2022
</t>
  </si>
  <si>
    <t>TalakResp</t>
  </si>
  <si>
    <t>ANCK4</t>
  </si>
  <si>
    <t>BirthFaskes</t>
  </si>
  <si>
    <t>Tenaga Medis</t>
  </si>
  <si>
    <t>Psikologi Klinis</t>
  </si>
  <si>
    <t>Tenaga Keperawatan</t>
  </si>
  <si>
    <t>Tenaga Kebidanan</t>
  </si>
  <si>
    <t>Tenaga Kefarmasian</t>
  </si>
  <si>
    <t>Tenaga Kesehatan Masyarakat</t>
  </si>
  <si>
    <t>Tenaga Kesehatan Lingkungan</t>
  </si>
  <si>
    <t>Tenaga Gizi</t>
  </si>
  <si>
    <t>Tenaga Keterapian Fisik</t>
  </si>
  <si>
    <t>Tenaga Keteknisan Medis</t>
  </si>
  <si>
    <t>Tenaga Teknik Biomedika</t>
  </si>
  <si>
    <t>Tenaga Kesehatan Tradisional</t>
  </si>
  <si>
    <t>TenagaMedis</t>
  </si>
  <si>
    <t>TenagaPerawat</t>
  </si>
  <si>
    <t>TenagaFarmasi</t>
  </si>
  <si>
    <t>TenagaKesmas</t>
  </si>
  <si>
    <t>TenagaGizi</t>
  </si>
  <si>
    <t>PKMRanap</t>
  </si>
  <si>
    <t>PKMTanpaRanap</t>
  </si>
  <si>
    <t>Puskesmas Rawat Inap 2023</t>
  </si>
  <si>
    <t>Puskesmas Rawat Inap 2024</t>
  </si>
  <si>
    <t>Puskesmas Non Rawat Inap 2023</t>
  </si>
  <si>
    <t>Puskesmas Non Rawat Inap 2024</t>
  </si>
  <si>
    <t>...</t>
  </si>
  <si>
    <t>Kunjungan Neonatal (KN) Lengkap (%)</t>
  </si>
  <si>
    <t>Persentase Kunjungan Neonatal Lengkap (KN Lengkap)</t>
  </si>
  <si>
    <t>Sumber : Profil kesehatan Papua Barat 2022</t>
  </si>
  <si>
    <t>Jumlah Tenaga Kesehatan Menurut Kabupaten/Kota di 
Provinsi Papua Barat Daya, 2024</t>
  </si>
  <si>
    <t>PBD dalam angka 2025</t>
  </si>
  <si>
    <t>PENEMUAN KASUS PNEUMONIA BALITA MENURUT JENIS KELAMIN, KECAMATAN, DAN PUSKESMAS KABUPATEN/KOTA
PROVINSI PAPUA BARAT DAYA TAHUN 2022</t>
  </si>
  <si>
    <t>Sumber : Profil kesehatan Papua Barat 2022; Prov. Papua Barat Daya dalam Angka (BPS, 2024)</t>
  </si>
  <si>
    <t>Jumlah Terduga TBC</t>
  </si>
  <si>
    <t>L</t>
  </si>
  <si>
    <t>% (L)</t>
  </si>
  <si>
    <t>P</t>
  </si>
  <si>
    <t>% (P)</t>
  </si>
  <si>
    <t>L+P</t>
  </si>
  <si>
    <t>% (L+P)</t>
  </si>
  <si>
    <t>Angka Success Rate Semua Kasus Tuberkulosis menurut Kabupaten/Kota</t>
  </si>
  <si>
    <t>Sumber : Rakerkesda Prov.PBD, 2024; Dinkes, Pengendalian Penduduk dan KB Prov. PBD, 2024.</t>
  </si>
  <si>
    <t>Kasus Penyakit Menurut Kabupaten/Kota dan Jenis
Penyakit di Provinsi Papua Barat Daya, 2024
Disease by Regency/Municipality and Type of Disease in
Papua Barat Daya Province, 2024</t>
  </si>
  <si>
    <t>KNLengkap</t>
  </si>
  <si>
    <t>Prevalensi Balita Stunting (SSGI 2024)</t>
  </si>
  <si>
    <t>IDL2025</t>
  </si>
  <si>
    <t>Persentase anak usia 12-23 bulan yang telah menerima imunisasi dasar lengkap, tahun 2025</t>
  </si>
  <si>
    <t>BirthNakes2025</t>
  </si>
  <si>
    <t>Stunting2024</t>
  </si>
  <si>
    <t>Persentase Ibu hamil melakukan antenatal care visit ke-4, tahun 2022</t>
  </si>
  <si>
    <t>Persentase ibu hamil menjalani kelahiran di fasilitas kesehatan, tahun 2022</t>
  </si>
  <si>
    <t>Persentase Kunjungan Neonatal Lengkap, tahun 2022</t>
  </si>
  <si>
    <t>Penemuan Kasus Baru Kusta per 100.000 Penduduk, tahun 2024</t>
  </si>
  <si>
    <t>Angka Kesakitan Malaria per 1.000 Penduduk, tahun 2024</t>
  </si>
  <si>
    <t>Angka Kesakitan DBD per 100.000 Penduduk,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</si>
</sst>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/>
    <xf numFmtId="3" fontId="0" fillId="0" borderId="0" xfId="0" applyNumberFormat="1"/>
    <xf numFmtId="0" fontId="0" fillId="0" borderId="0" xfId="0" applyAlignment="1"/>
    <xf numFmtId="0" fontId="2" fillId="2" borderId="0" xfId="0" applyFont="1" applyFill="1"/>
    <xf numFmtId="0" fontId="2" fillId="0" borderId="0" xfId="0" applyFont="1" applyFill="1"/>
    <xf numFmtId="0" fontId="0" fillId="0" borderId="0" xfId="0" applyAlignment="1">
      <alignment vertical="top"/>
    </xf>
    <xf numFmtId="0" fontId="2" fillId="0" borderId="1" xfId="0" applyFont="1" applyBorder="1"/>
    <xf numFmtId="0" fontId="2" fillId="0" borderId="1" xfId="0" applyFont="1" applyFill="1" applyBorder="1"/>
    <xf numFmtId="2" fontId="2" fillId="0" borderId="1" xfId="0" applyNumberFormat="1" applyFon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10</xdr:row>
      <xdr:rowOff>25400</xdr:rowOff>
    </xdr:from>
    <xdr:to>
      <xdr:col>10</xdr:col>
      <xdr:colOff>58420</xdr:colOff>
      <xdr:row>23</xdr:row>
      <xdr:rowOff>108813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6111F-DB00-CEFB-F990-8ED745035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2057400"/>
          <a:ext cx="7772400" cy="2725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390721</xdr:colOff>
      <xdr:row>18</xdr:row>
      <xdr:rowOff>95642</xdr:rowOff>
    </xdr:from>
    <xdr:to>
      <xdr:col>18</xdr:col>
      <xdr:colOff>67506</xdr:colOff>
      <xdr:row>58</xdr:row>
      <xdr:rowOff>1931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E6DEA-BA2E-A8E4-A0C9-ADDDC80D1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9610" y="3764531"/>
          <a:ext cx="7809716" cy="80504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94074</xdr:rowOff>
    </xdr:from>
    <xdr:to>
      <xdr:col>9</xdr:col>
      <xdr:colOff>296686</xdr:colOff>
      <xdr:row>51</xdr:row>
      <xdr:rowOff>2003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E57233-F26F-6AAC-C4C0-584A8498E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62963"/>
          <a:ext cx="7772400" cy="6634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4861-E1E3-894C-8B66-12D9DE26D6B1}">
  <dimension ref="A1:AN19"/>
  <sheetViews>
    <sheetView tabSelected="1" topLeftCell="B1" zoomScale="116" workbookViewId="0">
      <selection activeCell="E22" sqref="E22"/>
    </sheetView>
  </sheetViews>
  <sheetFormatPr defaultColWidth="10.6640625" defaultRowHeight="16" x14ac:dyDescent="0.4"/>
  <cols>
    <col min="1" max="1" width="5" customWidth="1"/>
    <col min="2" max="2" width="14.6640625" customWidth="1"/>
    <col min="4" max="4" width="13.83203125" customWidth="1"/>
    <col min="8" max="9" width="12.33203125" customWidth="1"/>
    <col min="10" max="10" width="13.08203125" bestFit="1" customWidth="1"/>
    <col min="11" max="11" width="15.08203125" bestFit="1" customWidth="1"/>
    <col min="12" max="12" width="14.75" bestFit="1" customWidth="1"/>
    <col min="13" max="13" width="14.58203125" bestFit="1" customWidth="1"/>
    <col min="14" max="14" width="12.33203125" customWidth="1"/>
    <col min="16" max="16" width="17.83203125" customWidth="1"/>
  </cols>
  <sheetData>
    <row r="1" spans="1:40" ht="17.5" x14ac:dyDescent="0.45">
      <c r="A1" s="5" t="s">
        <v>113</v>
      </c>
      <c r="B1" s="5" t="s">
        <v>114</v>
      </c>
      <c r="C1" s="8" t="s">
        <v>207</v>
      </c>
      <c r="D1" s="9" t="s">
        <v>206</v>
      </c>
      <c r="E1" s="8" t="s">
        <v>204</v>
      </c>
      <c r="F1" s="5" t="s">
        <v>158</v>
      </c>
      <c r="G1" s="8" t="s">
        <v>159</v>
      </c>
      <c r="H1" s="8" t="s">
        <v>160</v>
      </c>
      <c r="I1" s="8" t="s">
        <v>202</v>
      </c>
      <c r="J1" s="5" t="s">
        <v>173</v>
      </c>
      <c r="K1" s="5" t="s">
        <v>174</v>
      </c>
      <c r="L1" s="5" t="s">
        <v>175</v>
      </c>
      <c r="M1" s="5" t="s">
        <v>176</v>
      </c>
      <c r="N1" s="5" t="s">
        <v>177</v>
      </c>
      <c r="O1" s="5" t="s">
        <v>178</v>
      </c>
      <c r="P1" s="5" t="s">
        <v>179</v>
      </c>
      <c r="Q1" s="8" t="s">
        <v>119</v>
      </c>
      <c r="R1" s="8" t="s">
        <v>115</v>
      </c>
      <c r="S1" s="5" t="s">
        <v>116</v>
      </c>
      <c r="T1" s="8" t="s">
        <v>23</v>
      </c>
      <c r="U1" s="8" t="s">
        <v>120</v>
      </c>
      <c r="V1" t="str">
        <f>CONCATENATE(C1&amp;"_z")</f>
        <v>Stunting2024_z</v>
      </c>
      <c r="W1" t="str">
        <f>CONCATENATE(D1&amp;"_z")</f>
        <v>BirthNakes2025_z</v>
      </c>
      <c r="X1" t="str">
        <f>CONCATENATE(E1&amp;"_z")</f>
        <v>IDL2025_z</v>
      </c>
      <c r="Y1" t="str">
        <f>CONCATENATE(F1&amp;"_z")</f>
        <v>TalakResp_z</v>
      </c>
      <c r="Z1" t="str">
        <f>CONCATENATE(G1&amp;"_z")</f>
        <v>ANCK4_z</v>
      </c>
      <c r="AA1" t="str">
        <f>CONCATENATE(H1&amp;"_z")</f>
        <v>BirthFaskes_z</v>
      </c>
      <c r="AB1" t="str">
        <f>CONCATENATE(I1&amp;"_z")</f>
        <v>KNLengkap_z</v>
      </c>
      <c r="AC1" t="str">
        <f>CONCATENATE(J1&amp;"_z")</f>
        <v>TenagaMedis_z</v>
      </c>
      <c r="AD1" t="str">
        <f>CONCATENATE(K1&amp;"_z")</f>
        <v>TenagaPerawat_z</v>
      </c>
      <c r="AE1" t="str">
        <f>CONCATENATE(L1&amp;"_z")</f>
        <v>TenagaFarmasi_z</v>
      </c>
      <c r="AF1" t="str">
        <f>CONCATENATE(M1&amp;"_z")</f>
        <v>TenagaKesmas_z</v>
      </c>
      <c r="AG1" t="str">
        <f>CONCATENATE(N1&amp;"_z")</f>
        <v>TenagaGizi_z</v>
      </c>
      <c r="AH1" t="str">
        <f>CONCATENATE(O1&amp;"_z")</f>
        <v>PKMRanap_z</v>
      </c>
      <c r="AI1" t="str">
        <f>CONCATENATE(P1&amp;"_z")</f>
        <v>PKMTanpaRanap_z</v>
      </c>
      <c r="AJ1" t="str">
        <f>CONCATENATE(Q1&amp;"_z")</f>
        <v>Kusta_z</v>
      </c>
      <c r="AK1" t="str">
        <f>CONCATENATE(R1&amp;"_z")</f>
        <v>Malaria_z</v>
      </c>
      <c r="AL1" t="str">
        <f t="shared" ref="AL1:AN1" si="0">CONCATENATE(S1&amp;"_z")</f>
        <v>Dengue_z</v>
      </c>
      <c r="AM1" t="str">
        <f t="shared" si="0"/>
        <v>IKP_z</v>
      </c>
      <c r="AN1" t="str">
        <f t="shared" si="0"/>
        <v>IRBI_z</v>
      </c>
    </row>
    <row r="2" spans="1:40" ht="17.5" x14ac:dyDescent="0.45">
      <c r="A2" s="5">
        <v>1</v>
      </c>
      <c r="B2" s="5" t="s">
        <v>11</v>
      </c>
      <c r="C2" s="5">
        <f>VLOOKUP(B2, Stunting2024!A:B, 2, FALSE)</f>
        <v>37.4</v>
      </c>
      <c r="D2" s="5">
        <f>VLOOKUP(B2, BirthNakes!A:L, 12, FALSE)</f>
        <v>54.33</v>
      </c>
      <c r="E2" s="5">
        <f>VLOOKUP(B2, IDL!A:C, 3, FALSE)</f>
        <v>37.94</v>
      </c>
      <c r="F2" s="5">
        <f>VLOOKUP(B2, TalakResp!B:C, 2, FALSE)</f>
        <v>21.7</v>
      </c>
      <c r="G2" s="5">
        <f>VLOOKUP(B2, 'ANC2'!C:I, 7, FALSE)</f>
        <v>57</v>
      </c>
      <c r="H2" s="5">
        <f>VLOOKUP(B2, 'ANC2'!C:N, 12, FALSE)</f>
        <v>63.2</v>
      </c>
      <c r="I2" s="5">
        <f>VLOOKUP(B2, KN!B:C, 2, FALSE)</f>
        <v>23.4</v>
      </c>
      <c r="J2" s="5">
        <f>VLOOKUP(B2,Nakes!A:B, 2, FALSE)</f>
        <v>61</v>
      </c>
      <c r="K2" s="5">
        <f>VLOOKUP(B2, Nakes!A:D, 4, FALSE)</f>
        <v>412</v>
      </c>
      <c r="L2" s="5">
        <f>VLOOKUP(B2, Nakes!A:F, 6, FALSE)</f>
        <v>59</v>
      </c>
      <c r="M2" s="5">
        <f>VLOOKUP(B2, Nakes!A:G, 7, FALSE)</f>
        <v>75</v>
      </c>
      <c r="N2" s="5">
        <f>VLOOKUP(B2, Nakes!A:I, 9, FALSE)</f>
        <v>50</v>
      </c>
      <c r="O2">
        <f>VLOOKUP(B2, PKM!A:C, 3, FALSE)</f>
        <v>3</v>
      </c>
      <c r="P2">
        <f>VLOOKUP(B2, PKM!A:E, 5, FALSE)</f>
        <v>21</v>
      </c>
      <c r="Q2" s="5">
        <f>VLOOKUP(B2, Diseases!A:E, 5, FALSE)</f>
        <v>117.91</v>
      </c>
      <c r="R2" s="5">
        <f>VLOOKUP(B2, Diseases!A:F, 6, FALSE)</f>
        <v>15.99</v>
      </c>
      <c r="S2" s="5">
        <f>VLOOKUP(B2, Diseases!A:G, 7, FALSE)</f>
        <v>81.349999999999994</v>
      </c>
      <c r="T2" s="5">
        <f>VLOOKUP(B2, IKP!C:F, 4, FALSE)</f>
        <v>44.12</v>
      </c>
      <c r="U2" s="5">
        <f>VLOOKUP(B2, IRBI2025!B:D, 3, FALSE)</f>
        <v>245.97</v>
      </c>
      <c r="V2">
        <f>(C2-AVERAGE(C$2:C$7))/STDEV(C$2:C$7)</f>
        <v>1.1077098490112001</v>
      </c>
      <c r="W2">
        <f t="shared" ref="W2:AA7" si="1">(D2-AVERAGE(D$2:D$7))/STDEV(D$2:D$7)</f>
        <v>-1.1458049162144712</v>
      </c>
      <c r="X2">
        <f t="shared" si="1"/>
        <v>-1.4908940620347197</v>
      </c>
      <c r="Y2">
        <f t="shared" si="1"/>
        <v>-0.64237413807238652</v>
      </c>
      <c r="Z2">
        <f t="shared" si="1"/>
        <v>-9.5915656301753069E-2</v>
      </c>
      <c r="AA2">
        <f t="shared" si="1"/>
        <v>0.74098444669402708</v>
      </c>
      <c r="AB2">
        <f t="shared" ref="AB2:AB7" si="2">(I2-AVERAGE(I$2:I$7))/STDEV(I$2:I$7)</f>
        <v>-0.8475588553006852</v>
      </c>
      <c r="AC2">
        <f t="shared" ref="AC2:AC7" si="3">(J2-AVERAGE(J$2:J$7))/STDEV(J$2:J$7)</f>
        <v>-0.12193107260889857</v>
      </c>
      <c r="AD2">
        <f t="shared" ref="AD2:AD7" si="4">(K2-AVERAGE(K$2:K$7))/STDEV(K$2:K$7)</f>
        <v>8.3705096173890353E-2</v>
      </c>
      <c r="AE2">
        <f t="shared" ref="AE2:AE7" si="5">(L2-AVERAGE(L$2:L$7))/STDEV(L$2:L$7)</f>
        <v>0.1145723898058245</v>
      </c>
      <c r="AF2">
        <f t="shared" ref="AF2:AF7" si="6">(M2-AVERAGE(M$2:M$7))/STDEV(M$2:M$7)</f>
        <v>0.2280023308939666</v>
      </c>
      <c r="AG2">
        <f t="shared" ref="AG2:AG7" si="7">(N2-AVERAGE(N$2:N$7))/STDEV(N$2:N$7)</f>
        <v>0.98501258861156338</v>
      </c>
      <c r="AH2">
        <f t="shared" ref="AH2:AH7" si="8">(O2-AVERAGE(O$2:O$7))/STDEV(O$2:O$7)</f>
        <v>0.56613851707229801</v>
      </c>
      <c r="AI2">
        <f t="shared" ref="AI2:AI7" si="9">(P2-AVERAGE(P$2:P$7))/STDEV(P$2:P$7)</f>
        <v>0.64153302787178512</v>
      </c>
      <c r="AJ2">
        <f t="shared" ref="AJ2:AJ7" si="10">(Q2-AVERAGE(Q$2:Q$7))/STDEV(Q$2:Q$7)</f>
        <v>0.95713657361373017</v>
      </c>
      <c r="AK2">
        <f t="shared" ref="AK2:AK7" si="11">(R2-AVERAGE(R$2:R$7))/STDEV(R$2:R$7)</f>
        <v>0.57226813535020915</v>
      </c>
      <c r="AL2">
        <f t="shared" ref="AL2:AL7" si="12">(S2-AVERAGE(S$2:S$7))/STDEV(S$2:S$7)</f>
        <v>1.3380313723101314</v>
      </c>
      <c r="AM2">
        <f t="shared" ref="AM2:AM7" si="13">(T2-AVERAGE(T$2:T$7))/STDEV(T$2:T$7)</f>
        <v>-0.28113970696536855</v>
      </c>
      <c r="AN2">
        <f t="shared" ref="AN2:AN7" si="14">(U2-AVERAGE(U$2:U$7))/STDEV(U$2:U$7)</f>
        <v>0.74428669489320809</v>
      </c>
    </row>
    <row r="3" spans="1:40" ht="17.5" x14ac:dyDescent="0.45">
      <c r="A3" s="5">
        <v>2</v>
      </c>
      <c r="B3" s="5" t="s">
        <v>12</v>
      </c>
      <c r="C3" s="5">
        <f>VLOOKUP(B3, Stunting2024!A:B, 2, FALSE)</f>
        <v>25.1</v>
      </c>
      <c r="D3" s="5">
        <f>VLOOKUP(B3, BirthNakes!A:L, 12, FALSE)</f>
        <v>94.789999999999992</v>
      </c>
      <c r="E3" s="5">
        <f>VLOOKUP(B3, IDL!A:C, 3, FALSE)</f>
        <v>51.55</v>
      </c>
      <c r="F3" s="5">
        <f>VLOOKUP(B3, TalakResp!B:C, 2, FALSE)</f>
        <v>56.7</v>
      </c>
      <c r="G3" s="5">
        <f>VLOOKUP(B3, 'ANC2'!C:I, 7, FALSE)</f>
        <v>55.9</v>
      </c>
      <c r="H3" s="5">
        <f>VLOOKUP(B3, 'ANC2'!C:N, 12, FALSE)</f>
        <v>76.400000000000006</v>
      </c>
      <c r="I3" s="5">
        <f>VLOOKUP(B3, KN!B:C, 2, FALSE)</f>
        <v>72.209999999999994</v>
      </c>
      <c r="J3" s="5">
        <f>VLOOKUP(B3,Nakes!A:B, 2, FALSE)</f>
        <v>109</v>
      </c>
      <c r="K3" s="5">
        <f>VLOOKUP(B3, Nakes!A:D, 4, FALSE)</f>
        <v>638</v>
      </c>
      <c r="L3" s="5">
        <f>VLOOKUP(B3, Nakes!A:F, 6, FALSE)</f>
        <v>72</v>
      </c>
      <c r="M3" s="5">
        <f>VLOOKUP(B3, Nakes!A:G, 7, FALSE)</f>
        <v>114</v>
      </c>
      <c r="N3" s="5">
        <f>VLOOKUP(B3, Nakes!A:I, 9, FALSE)</f>
        <v>52</v>
      </c>
      <c r="O3">
        <f>VLOOKUP(B3, PKM!A:C, 3, FALSE)</f>
        <v>2</v>
      </c>
      <c r="P3">
        <f>VLOOKUP(B3, PKM!A:E, 5, FALSE)</f>
        <v>25</v>
      </c>
      <c r="Q3" s="5">
        <f>VLOOKUP(B3, Diseases!A:E, 5, FALSE)</f>
        <v>72.25</v>
      </c>
      <c r="R3" s="5">
        <f>VLOOKUP(B3, Diseases!A:F, 6, FALSE)</f>
        <v>9.61</v>
      </c>
      <c r="S3" s="5">
        <f>VLOOKUP(B3, Diseases!A:G, 7, FALSE)</f>
        <v>77.97</v>
      </c>
      <c r="T3" s="5">
        <f>VLOOKUP(B3, IKP!C:F, 4, FALSE)</f>
        <v>46.99</v>
      </c>
      <c r="U3" s="5">
        <f>VLOOKUP(B3, IRBI2025!B:D, 3, FALSE)</f>
        <v>240.53</v>
      </c>
      <c r="V3">
        <f t="shared" ref="V3:V7" si="15">(C3-AVERAGE(C$2:C$7))/STDEV(C$2:C$7)</f>
        <v>-1.392259168023253</v>
      </c>
      <c r="W3">
        <f t="shared" si="1"/>
        <v>1.2595531040226862</v>
      </c>
      <c r="X3">
        <f t="shared" si="1"/>
        <v>-0.28667636563753673</v>
      </c>
      <c r="Y3">
        <f t="shared" si="1"/>
        <v>0.29312217950875918</v>
      </c>
      <c r="Z3">
        <f t="shared" si="1"/>
        <v>-0.15096290252710715</v>
      </c>
      <c r="AA3">
        <f t="shared" si="1"/>
        <v>1.3319811050844297</v>
      </c>
      <c r="AB3">
        <f t="shared" si="2"/>
        <v>1.15305439821232</v>
      </c>
      <c r="AC3">
        <f t="shared" si="3"/>
        <v>0.65842779208805235</v>
      </c>
      <c r="AD3">
        <f t="shared" si="4"/>
        <v>1.0538256979841067</v>
      </c>
      <c r="AE3">
        <f t="shared" si="5"/>
        <v>0.47203824599999716</v>
      </c>
      <c r="AF3">
        <f t="shared" si="6"/>
        <v>1.3878402750067524</v>
      </c>
      <c r="AG3">
        <f t="shared" si="7"/>
        <v>1.1469324661915465</v>
      </c>
      <c r="AH3">
        <f t="shared" si="8"/>
        <v>-0.11322770341445948</v>
      </c>
      <c r="AI3">
        <f t="shared" si="9"/>
        <v>1.3413872400955504</v>
      </c>
      <c r="AJ3">
        <f t="shared" si="10"/>
        <v>1.2380184828943789E-2</v>
      </c>
      <c r="AK3">
        <f t="shared" si="11"/>
        <v>-0.14479976059761435</v>
      </c>
      <c r="AL3">
        <f t="shared" si="12"/>
        <v>1.2391995095826787</v>
      </c>
      <c r="AM3">
        <f t="shared" si="13"/>
        <v>-7.5217726789118006E-2</v>
      </c>
      <c r="AN3">
        <f t="shared" si="14"/>
        <v>0.47767653552847694</v>
      </c>
    </row>
    <row r="4" spans="1:40" ht="17.5" x14ac:dyDescent="0.45">
      <c r="A4" s="5">
        <v>3</v>
      </c>
      <c r="B4" s="5" t="s">
        <v>13</v>
      </c>
      <c r="C4" s="5">
        <f>VLOOKUP(B4, Stunting2024!A:B, 2, FALSE)</f>
        <v>31.3</v>
      </c>
      <c r="D4" s="5">
        <f>VLOOKUP(B4, BirthNakes!A:L, 12, FALSE)</f>
        <v>60.12</v>
      </c>
      <c r="E4" s="5">
        <f>VLOOKUP(B4, IDL!A:C, 3, FALSE)</f>
        <v>50.38</v>
      </c>
      <c r="F4" s="5">
        <f>VLOOKUP(B4, TalakResp!B:C, 2, FALSE)</f>
        <v>77.900000000000006</v>
      </c>
      <c r="G4" s="5">
        <f>VLOOKUP(B4, 'ANC2'!C:I, 7, FALSE)</f>
        <v>59.5</v>
      </c>
      <c r="H4" s="5">
        <f>VLOOKUP(B4, 'ANC2'!C:N, 12, FALSE)</f>
        <v>36.299999999999997</v>
      </c>
      <c r="I4" s="5">
        <f>VLOOKUP(B4, KN!B:C, 2, FALSE)</f>
        <v>58.99</v>
      </c>
      <c r="J4" s="5">
        <f>VLOOKUP(B4,Nakes!A:B, 2, FALSE)</f>
        <v>42</v>
      </c>
      <c r="K4" s="5">
        <f>VLOOKUP(B4, Nakes!A:D, 4, FALSE)</f>
        <v>303</v>
      </c>
      <c r="L4" s="5">
        <f>VLOOKUP(B4, Nakes!A:F, 6, FALSE)</f>
        <v>40</v>
      </c>
      <c r="M4" s="5">
        <f>VLOOKUP(B4, Nakes!A:G, 7, FALSE)</f>
        <v>39</v>
      </c>
      <c r="N4" s="5">
        <f>VLOOKUP(B4, Nakes!A:I, 9, FALSE)</f>
        <v>31</v>
      </c>
      <c r="O4">
        <f>VLOOKUP(B4, PKM!A:C, 3, FALSE)</f>
        <v>4</v>
      </c>
      <c r="P4">
        <f>VLOOKUP(B4, PKM!A:E, 5, FALSE)</f>
        <v>12</v>
      </c>
      <c r="Q4" s="5">
        <f>VLOOKUP(B4, Diseases!A:E, 5, FALSE)</f>
        <v>19.28</v>
      </c>
      <c r="R4" s="5">
        <f>VLOOKUP(B4, Diseases!A:F, 6, FALSE)</f>
        <v>1.99</v>
      </c>
      <c r="S4" s="5">
        <f>VLOOKUP(B4, Diseases!A:G, 7, FALSE)</f>
        <v>10.66</v>
      </c>
      <c r="T4" s="5">
        <f>VLOOKUP(B4, IKP!C:F, 4, FALSE)</f>
        <v>48.46</v>
      </c>
      <c r="U4" s="5">
        <f>VLOOKUP(B4, IRBI2025!B:D, 3, FALSE)</f>
        <v>221.33</v>
      </c>
      <c r="V4">
        <f t="shared" si="15"/>
        <v>-0.13211218382702442</v>
      </c>
      <c r="W4">
        <f t="shared" si="1"/>
        <v>-0.80158783917114096</v>
      </c>
      <c r="X4">
        <f t="shared" si="1"/>
        <v>-0.39019838656220224</v>
      </c>
      <c r="Y4">
        <f t="shared" si="1"/>
        <v>0.85976566330076742</v>
      </c>
      <c r="Z4">
        <f t="shared" si="1"/>
        <v>2.9191721483142391E-2</v>
      </c>
      <c r="AA4">
        <f t="shared" si="1"/>
        <v>-0.46339510714702042</v>
      </c>
      <c r="AB4">
        <f t="shared" si="2"/>
        <v>0.61119602469373946</v>
      </c>
      <c r="AC4">
        <f t="shared" si="3"/>
        <v>-0.43082312321810828</v>
      </c>
      <c r="AD4">
        <f t="shared" si="4"/>
        <v>-0.38418492859298392</v>
      </c>
      <c r="AE4">
        <f t="shared" si="5"/>
        <v>-0.40787770770873549</v>
      </c>
      <c r="AF4">
        <f t="shared" si="6"/>
        <v>-0.84261730982552807</v>
      </c>
      <c r="AG4">
        <f t="shared" si="7"/>
        <v>-0.55322624839827561</v>
      </c>
      <c r="AH4">
        <f t="shared" si="8"/>
        <v>1.2455047375590556</v>
      </c>
      <c r="AI4">
        <f t="shared" si="9"/>
        <v>-0.93313894963168686</v>
      </c>
      <c r="AJ4">
        <f t="shared" si="10"/>
        <v>-1.0836282670749138</v>
      </c>
      <c r="AK4">
        <f t="shared" si="11"/>
        <v>-1.0012350845979927</v>
      </c>
      <c r="AL4">
        <f t="shared" si="12"/>
        <v>-0.72895808810514795</v>
      </c>
      <c r="AM4">
        <f t="shared" si="13"/>
        <v>3.0254506959692985E-2</v>
      </c>
      <c r="AN4">
        <f t="shared" si="14"/>
        <v>-0.4633004975235151</v>
      </c>
    </row>
    <row r="5" spans="1:40" ht="17.5" x14ac:dyDescent="0.45">
      <c r="A5" s="5">
        <v>4</v>
      </c>
      <c r="B5" s="5" t="s">
        <v>14</v>
      </c>
      <c r="C5" s="5">
        <f>VLOOKUP(B5, Stunting2024!A:B, 2, FALSE)</f>
        <v>30.7</v>
      </c>
      <c r="D5" s="5">
        <f>VLOOKUP(B5, BirthNakes!A:L, 12, FALSE)</f>
        <v>71.900000000000006</v>
      </c>
      <c r="E5" s="5">
        <f>VLOOKUP(B5, IDL!A:C, 3, FALSE)</f>
        <v>60.46</v>
      </c>
      <c r="F5" s="5">
        <f>VLOOKUP(B5, TalakResp!B:C, 2, FALSE)</f>
        <v>0</v>
      </c>
      <c r="G5" s="5">
        <f>VLOOKUP(B5, 'ANC2'!C:I, 7, FALSE)</f>
        <v>92.7</v>
      </c>
      <c r="H5" s="5">
        <f>VLOOKUP(B5, 'ANC2'!C:N, 12, FALSE)</f>
        <v>33.700000000000003</v>
      </c>
      <c r="I5" s="5">
        <f>VLOOKUP(B5, KN!B:C, 2, FALSE)</f>
        <v>29.54</v>
      </c>
      <c r="J5" s="5">
        <f>VLOOKUP(B5,Nakes!A:B, 2, FALSE)</f>
        <v>8</v>
      </c>
      <c r="K5" s="5">
        <f>VLOOKUP(B5, Nakes!A:D, 4, FALSE)</f>
        <v>210</v>
      </c>
      <c r="L5" s="5">
        <f>VLOOKUP(B5, Nakes!A:F, 6, FALSE)</f>
        <v>26</v>
      </c>
      <c r="M5" s="5">
        <f>VLOOKUP(B5, Nakes!A:G, 7, FALSE)</f>
        <v>61</v>
      </c>
      <c r="N5" s="5">
        <f>VLOOKUP(B5, Nakes!A:I, 9, FALSE)</f>
        <v>35</v>
      </c>
      <c r="O5">
        <f>VLOOKUP(B5, PKM!A:C, 3, FALSE)</f>
        <v>3</v>
      </c>
      <c r="P5">
        <f>VLOOKUP(B5, PKM!A:E, 5, FALSE)</f>
        <v>16</v>
      </c>
      <c r="Q5" s="5">
        <f>VLOOKUP(B5, Diseases!A:E, 5, FALSE)</f>
        <v>28.85</v>
      </c>
      <c r="R5" s="5">
        <f>VLOOKUP(B5, Diseases!A:F, 6, FALSE)</f>
        <v>0.48</v>
      </c>
      <c r="S5" s="5">
        <f>VLOOKUP(B5, Diseases!A:G, 7, FALSE)</f>
        <v>12.76</v>
      </c>
      <c r="T5" s="5">
        <f>VLOOKUP(B5, IKP!C:F, 4, FALSE)</f>
        <v>41.6</v>
      </c>
      <c r="U5" s="5">
        <f>VLOOKUP(B5, IRBI2025!B:D, 3, FALSE)</f>
        <v>197.09</v>
      </c>
      <c r="V5">
        <f t="shared" si="15"/>
        <v>-0.25406189197504681</v>
      </c>
      <c r="W5">
        <f t="shared" si="1"/>
        <v>-0.10126363060975346</v>
      </c>
      <c r="X5">
        <f t="shared" si="1"/>
        <v>0.5016836398656892</v>
      </c>
      <c r="Y5">
        <f t="shared" si="1"/>
        <v>-1.2223818549726968</v>
      </c>
      <c r="Z5">
        <f t="shared" si="1"/>
        <v>1.6906176984665542</v>
      </c>
      <c r="AA5">
        <f t="shared" si="1"/>
        <v>-0.57980353986028133</v>
      </c>
      <c r="AB5">
        <f t="shared" si="2"/>
        <v>-0.59589392236542904</v>
      </c>
      <c r="AC5">
        <f t="shared" si="3"/>
        <v>-0.98357731904511514</v>
      </c>
      <c r="AD5">
        <f t="shared" si="4"/>
        <v>-0.78339384880692253</v>
      </c>
      <c r="AE5">
        <f t="shared" si="5"/>
        <v>-0.79284093745630602</v>
      </c>
      <c r="AF5">
        <f t="shared" si="6"/>
        <v>-0.18834975160805911</v>
      </c>
      <c r="AG5">
        <f t="shared" si="7"/>
        <v>-0.22938649323830951</v>
      </c>
      <c r="AH5">
        <f t="shared" si="8"/>
        <v>0.56613851707229801</v>
      </c>
      <c r="AI5">
        <f t="shared" si="9"/>
        <v>-0.23328473740792155</v>
      </c>
      <c r="AJ5">
        <f t="shared" si="10"/>
        <v>-0.88561428020083577</v>
      </c>
      <c r="AK5">
        <f t="shared" si="11"/>
        <v>-1.1709486461781202</v>
      </c>
      <c r="AL5">
        <f t="shared" si="12"/>
        <v>-0.66755367635140506</v>
      </c>
      <c r="AM5">
        <f t="shared" si="13"/>
        <v>-0.46194925053475866</v>
      </c>
      <c r="AN5">
        <f t="shared" si="14"/>
        <v>-1.6512840017516563</v>
      </c>
    </row>
    <row r="6" spans="1:40" ht="17.5" x14ac:dyDescent="0.45">
      <c r="A6" s="5">
        <v>5</v>
      </c>
      <c r="B6" s="5" t="s">
        <v>15</v>
      </c>
      <c r="C6" s="5">
        <f>VLOOKUP(B6, Stunting2024!A:B, 2, FALSE)</f>
        <v>37.9</v>
      </c>
      <c r="D6" s="5">
        <f>VLOOKUP(B6, BirthNakes!A:L, 12, FALSE)</f>
        <v>67.56</v>
      </c>
      <c r="E6" s="5">
        <f>VLOOKUP(B6, IDL!A:C, 3, FALSE)</f>
        <v>71.8</v>
      </c>
      <c r="F6" s="5">
        <f>VLOOKUP(B6, TalakResp!B:C, 2, FALSE)</f>
        <v>21.5</v>
      </c>
      <c r="G6" s="5">
        <f>VLOOKUP(B6, 'ANC2'!C:I, 7, FALSE)</f>
        <v>29.9</v>
      </c>
      <c r="H6" s="5">
        <f>VLOOKUP(B6, 'ANC2'!C:N, 12, FALSE)</f>
        <v>15.2</v>
      </c>
      <c r="I6" s="5">
        <f>VLOOKUP(B6, KN!B:C, 2, FALSE)</f>
        <v>14.74</v>
      </c>
      <c r="J6" s="5">
        <f>VLOOKUP(B6,Nakes!A:B, 2, FALSE)</f>
        <v>20</v>
      </c>
      <c r="K6" s="5">
        <f>VLOOKUP(B6, Nakes!A:D, 4, FALSE)</f>
        <v>105</v>
      </c>
      <c r="L6" s="5">
        <f>VLOOKUP(B6, Nakes!A:F, 6, FALSE)</f>
        <v>16</v>
      </c>
      <c r="M6" s="5">
        <f>VLOOKUP(B6, Nakes!A:G, 7, FALSE)</f>
        <v>23</v>
      </c>
      <c r="N6" s="5">
        <f>VLOOKUP(B6, Nakes!A:I, 9, FALSE)</f>
        <v>19</v>
      </c>
      <c r="O6">
        <f>VLOOKUP(B6, PKM!A:C, 3, FALSE)</f>
        <v>1</v>
      </c>
      <c r="P6">
        <f>VLOOKUP(B6, PKM!A:E, 5, FALSE)</f>
        <v>20</v>
      </c>
      <c r="Q6" s="5">
        <f>VLOOKUP(B6, Diseases!A:E, 5, FALSE)</f>
        <v>139.38</v>
      </c>
      <c r="R6" s="5">
        <f>VLOOKUP(B6, Diseases!A:F, 6, FALSE)</f>
        <v>24.13</v>
      </c>
      <c r="S6" s="5">
        <f>VLOOKUP(B6, Diseases!A:G, 7, FALSE)</f>
        <v>15.4</v>
      </c>
      <c r="T6" s="5">
        <f>VLOOKUP(B6, IKP!C:F, 4, FALSE)</f>
        <v>32.880000000000003</v>
      </c>
      <c r="U6" s="5">
        <f>VLOOKUP(B6, IRBI2025!B:D, 3, FALSE)</f>
        <v>226.37</v>
      </c>
      <c r="V6">
        <f t="shared" si="15"/>
        <v>1.2093346058012187</v>
      </c>
      <c r="W6">
        <f t="shared" si="1"/>
        <v>-0.35927781271131731</v>
      </c>
      <c r="X6">
        <f t="shared" si="1"/>
        <v>1.5050509195970669</v>
      </c>
      <c r="Y6">
        <f t="shared" si="1"/>
        <v>-0.64771983131570732</v>
      </c>
      <c r="Z6">
        <f t="shared" si="1"/>
        <v>-1.45207963149002</v>
      </c>
      <c r="AA6">
        <f t="shared" si="1"/>
        <v>-1.4080943110892545</v>
      </c>
      <c r="AB6">
        <f t="shared" si="2"/>
        <v>-1.2025129789520399</v>
      </c>
      <c r="AC6">
        <f t="shared" si="3"/>
        <v>-0.78848760287087749</v>
      </c>
      <c r="AD6">
        <f t="shared" si="4"/>
        <v>-1.2341135974355628</v>
      </c>
      <c r="AE6">
        <f t="shared" si="5"/>
        <v>-1.0678146729902851</v>
      </c>
      <c r="AF6">
        <f t="shared" si="6"/>
        <v>-1.3184482612564146</v>
      </c>
      <c r="AG6">
        <f t="shared" si="7"/>
        <v>-1.524745513878174</v>
      </c>
      <c r="AH6">
        <f t="shared" si="8"/>
        <v>-0.79259392390121697</v>
      </c>
      <c r="AI6">
        <f t="shared" si="9"/>
        <v>0.46656947481584377</v>
      </c>
      <c r="AJ6">
        <f t="shared" si="10"/>
        <v>1.4013748492862963</v>
      </c>
      <c r="AK6">
        <f t="shared" si="11"/>
        <v>1.4871478646629492</v>
      </c>
      <c r="AL6">
        <f t="shared" si="12"/>
        <v>-0.59035955871812829</v>
      </c>
      <c r="AM6">
        <f t="shared" si="13"/>
        <v>-1.0876076711399507</v>
      </c>
      <c r="AN6">
        <f t="shared" si="14"/>
        <v>-0.21629402634736744</v>
      </c>
    </row>
    <row r="7" spans="1:40" ht="17.5" x14ac:dyDescent="0.45">
      <c r="A7" s="5">
        <v>6</v>
      </c>
      <c r="B7" s="5" t="s">
        <v>16</v>
      </c>
      <c r="C7" s="5">
        <f>VLOOKUP(B7, Stunting2024!A:B, 2, FALSE)</f>
        <v>29.3</v>
      </c>
      <c r="D7" s="5">
        <f>VLOOKUP(B7, BirthNakes!A:L, 12, FALSE)</f>
        <v>92.92</v>
      </c>
      <c r="E7" s="5">
        <f>VLOOKUP(B7, IDL!A:C, 3, FALSE)</f>
        <v>56.61</v>
      </c>
      <c r="F7" s="5">
        <f>VLOOKUP(B7, TalakResp!B:C, 2, FALSE)</f>
        <v>96.6</v>
      </c>
      <c r="G7" s="5">
        <f>VLOOKUP(B7, 'ANC2'!C:I, 7, FALSE)</f>
        <v>58.5</v>
      </c>
      <c r="H7" s="5">
        <f>VLOOKUP(B7, 'ANC2'!C:N, 12, FALSE)</f>
        <v>55.1</v>
      </c>
      <c r="I7" s="5">
        <f>VLOOKUP(B7, KN!B:C, 2, FALSE)</f>
        <v>65.59</v>
      </c>
      <c r="J7" s="5">
        <f>VLOOKUP(B7,Nakes!A:B, 2, FALSE)</f>
        <v>171</v>
      </c>
      <c r="K7" s="5">
        <f>VLOOKUP(B7, Nakes!A:D, 4, FALSE)</f>
        <v>687</v>
      </c>
      <c r="L7" s="5">
        <f>VLOOKUP(B7, Nakes!A:F, 6, FALSE)</f>
        <v>116</v>
      </c>
      <c r="M7" s="5">
        <f>VLOOKUP(B7, Nakes!A:G, 7, FALSE)</f>
        <v>92</v>
      </c>
      <c r="N7" s="5">
        <f>VLOOKUP(B7, Nakes!A:I, 9, FALSE)</f>
        <v>40</v>
      </c>
      <c r="O7">
        <f>VLOOKUP(B7, PKM!A:C, 3, FALSE)</f>
        <v>0</v>
      </c>
      <c r="P7">
        <f>VLOOKUP(B7, PKM!A:E, 5, FALSE)</f>
        <v>10</v>
      </c>
      <c r="Q7" s="5">
        <f>VLOOKUP(B7, Diseases!A:E, 5, FALSE)</f>
        <v>52.24</v>
      </c>
      <c r="R7" s="5">
        <f>VLOOKUP(B7, Diseases!A:F, 6, FALSE)</f>
        <v>13.19</v>
      </c>
      <c r="S7" s="5">
        <f>VLOOKUP(B7, Diseases!A:G, 7, FALSE)</f>
        <v>15.4</v>
      </c>
      <c r="T7" s="5">
        <f>VLOOKUP(B7, IKP!C:F, 4, FALSE)</f>
        <v>74.180000000000007</v>
      </c>
      <c r="U7" s="5">
        <f>VLOOKUP(B7, IRBI2025!B:D, 3, FALSE)</f>
        <v>253.41</v>
      </c>
      <c r="V7">
        <f t="shared" si="15"/>
        <v>-0.53861121098709819</v>
      </c>
      <c r="W7">
        <f t="shared" si="1"/>
        <v>1.1483810946839947</v>
      </c>
      <c r="X7">
        <f t="shared" si="1"/>
        <v>0.16103425477170266</v>
      </c>
      <c r="Y7">
        <f t="shared" si="1"/>
        <v>1.3595879815512648</v>
      </c>
      <c r="Z7">
        <f t="shared" si="1"/>
        <v>-2.0851229630815791E-2</v>
      </c>
      <c r="AA7">
        <f t="shared" si="1"/>
        <v>0.3783274063180983</v>
      </c>
      <c r="AB7">
        <f t="shared" si="2"/>
        <v>0.88171533371209299</v>
      </c>
      <c r="AC7">
        <f t="shared" si="3"/>
        <v>1.6663913256549472</v>
      </c>
      <c r="AD7">
        <f t="shared" si="4"/>
        <v>1.2641615806774722</v>
      </c>
      <c r="AE7">
        <f t="shared" si="5"/>
        <v>1.6819226823495046</v>
      </c>
      <c r="AF7">
        <f t="shared" si="6"/>
        <v>0.7335727167892836</v>
      </c>
      <c r="AG7">
        <f t="shared" si="7"/>
        <v>0.17541320071164812</v>
      </c>
      <c r="AH7">
        <f t="shared" si="8"/>
        <v>-1.4719601443879744</v>
      </c>
      <c r="AI7">
        <f t="shared" si="9"/>
        <v>-1.2830660557435696</v>
      </c>
      <c r="AJ7">
        <f t="shared" si="10"/>
        <v>-0.40164906045321952</v>
      </c>
      <c r="AK7">
        <f t="shared" si="11"/>
        <v>0.25756749136056867</v>
      </c>
      <c r="AL7">
        <f t="shared" si="12"/>
        <v>-0.59035955871812829</v>
      </c>
      <c r="AM7">
        <f t="shared" si="13"/>
        <v>1.8756598484695035</v>
      </c>
      <c r="AN7">
        <f t="shared" si="14"/>
        <v>1.1089152952008552</v>
      </c>
    </row>
    <row r="12" spans="1:40" ht="17.5" x14ac:dyDescent="0.45">
      <c r="B12" s="8" t="s">
        <v>207</v>
      </c>
      <c r="C12" t="s">
        <v>203</v>
      </c>
    </row>
    <row r="13" spans="1:40" ht="17.5" x14ac:dyDescent="0.45">
      <c r="B13" s="8" t="s">
        <v>160</v>
      </c>
      <c r="C13" s="7" t="s">
        <v>209</v>
      </c>
    </row>
    <row r="14" spans="1:40" ht="17.5" x14ac:dyDescent="0.45">
      <c r="B14" s="8" t="s">
        <v>204</v>
      </c>
      <c r="C14" t="s">
        <v>205</v>
      </c>
    </row>
    <row r="15" spans="1:40" ht="17.5" x14ac:dyDescent="0.45">
      <c r="B15" s="8" t="s">
        <v>159</v>
      </c>
      <c r="C15" s="7" t="s">
        <v>208</v>
      </c>
    </row>
    <row r="16" spans="1:40" ht="17.5" x14ac:dyDescent="0.45">
      <c r="B16" s="8" t="s">
        <v>202</v>
      </c>
      <c r="C16" t="s">
        <v>210</v>
      </c>
    </row>
    <row r="17" spans="2:3" ht="17.5" x14ac:dyDescent="0.45">
      <c r="B17" s="8" t="s">
        <v>119</v>
      </c>
      <c r="C17" s="10" t="s">
        <v>211</v>
      </c>
    </row>
    <row r="18" spans="2:3" ht="17.5" x14ac:dyDescent="0.45">
      <c r="B18" s="8" t="s">
        <v>115</v>
      </c>
      <c r="C18" s="10" t="s">
        <v>212</v>
      </c>
    </row>
    <row r="19" spans="2:3" ht="17.5" x14ac:dyDescent="0.45">
      <c r="B19" s="8" t="s">
        <v>116</v>
      </c>
      <c r="C19" s="10" t="s">
        <v>213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B71F-2D46-4A5D-B637-CB339DBA2EA5}">
  <dimension ref="A1:L8"/>
  <sheetViews>
    <sheetView workbookViewId="0">
      <selection activeCell="I23" sqref="I23"/>
    </sheetView>
  </sheetViews>
  <sheetFormatPr defaultRowHeight="16" x14ac:dyDescent="0.4"/>
  <cols>
    <col min="2" max="2" width="15.08203125" customWidth="1"/>
    <col min="3" max="3" width="13.08203125" bestFit="1" customWidth="1"/>
    <col min="4" max="8" width="11.25" bestFit="1" customWidth="1"/>
    <col min="9" max="9" width="10.9140625" customWidth="1"/>
    <col min="10" max="10" width="11.25" bestFit="1" customWidth="1"/>
    <col min="11" max="12" width="10" bestFit="1" customWidth="1"/>
  </cols>
  <sheetData>
    <row r="1" spans="1:12" ht="17.5" x14ac:dyDescent="0.45">
      <c r="A1" s="11" t="s">
        <v>113</v>
      </c>
      <c r="B1" s="11" t="s">
        <v>114</v>
      </c>
      <c r="C1" s="12" t="s">
        <v>207</v>
      </c>
      <c r="D1" s="12" t="s">
        <v>160</v>
      </c>
      <c r="E1" s="12" t="s">
        <v>204</v>
      </c>
      <c r="F1" s="12" t="s">
        <v>159</v>
      </c>
      <c r="G1" s="12" t="s">
        <v>202</v>
      </c>
      <c r="H1" s="12" t="s">
        <v>119</v>
      </c>
      <c r="I1" s="12" t="s">
        <v>115</v>
      </c>
      <c r="J1" s="12" t="s">
        <v>116</v>
      </c>
      <c r="K1" s="12" t="s">
        <v>23</v>
      </c>
      <c r="L1" s="12" t="s">
        <v>120</v>
      </c>
    </row>
    <row r="2" spans="1:12" ht="17.5" x14ac:dyDescent="0.45">
      <c r="A2" s="11">
        <v>1</v>
      </c>
      <c r="B2" s="11" t="s">
        <v>11</v>
      </c>
      <c r="C2" s="13">
        <f>VLOOKUP(B2, Compile!B:V, 21, FALSE)</f>
        <v>1.1077098490112001</v>
      </c>
      <c r="D2" s="13">
        <f>-(VLOOKUP(B2, Compile!B:AA, 26, FALSE))</f>
        <v>-0.74098444669402708</v>
      </c>
      <c r="E2" s="13">
        <f>-(VLOOKUP(B2, Compile!B:X, 23, FALSE))</f>
        <v>1.4908940620347197</v>
      </c>
      <c r="F2" s="13">
        <f>-(VLOOKUP(B2, Compile!B:Z, 25, FALSE))</f>
        <v>9.5915656301753069E-2</v>
      </c>
      <c r="G2" s="13">
        <f>-(VLOOKUP(B2, Compile!B:AB, 27, FALSE))</f>
        <v>0.8475588553006852</v>
      </c>
      <c r="H2" s="13">
        <f>VLOOKUP(B2, Compile!B:AJ, 35, FALSE)</f>
        <v>0.95713657361373017</v>
      </c>
      <c r="I2" s="13">
        <f>VLOOKUP(B2, Compile!B:AL, 36, FALSE)</f>
        <v>0.57226813535020915</v>
      </c>
      <c r="J2" s="13">
        <f>VLOOKUP(B2, Compile!B:AL, 37, FALSE)</f>
        <v>1.3380313723101314</v>
      </c>
      <c r="K2" s="14">
        <f>-(VLOOKUP(B2, Compile!B:AM, 38, FALSE))</f>
        <v>0.28113970696536855</v>
      </c>
      <c r="L2" s="14">
        <f>VLOOKUP(B2, Compile!B:AN, 39, FALSE)</f>
        <v>0.74428669489320809</v>
      </c>
    </row>
    <row r="3" spans="1:12" ht="17.5" x14ac:dyDescent="0.45">
      <c r="A3" s="11">
        <v>2</v>
      </c>
      <c r="B3" s="11" t="s">
        <v>12</v>
      </c>
      <c r="C3" s="13">
        <f>VLOOKUP(B3, Compile!B:V, 21, FALSE)</f>
        <v>-1.392259168023253</v>
      </c>
      <c r="D3" s="13">
        <f>-(VLOOKUP(B3, Compile!B:AA, 26, FALSE))</f>
        <v>-1.3319811050844297</v>
      </c>
      <c r="E3" s="13">
        <f>-(VLOOKUP(B3, Compile!B:X, 23, FALSE))</f>
        <v>0.28667636563753673</v>
      </c>
      <c r="F3" s="13">
        <f>-(VLOOKUP(B3, Compile!B:Z, 25, FALSE))</f>
        <v>0.15096290252710715</v>
      </c>
      <c r="G3" s="13">
        <f>-(VLOOKUP(B3, Compile!B:AB, 27, FALSE))</f>
        <v>-1.15305439821232</v>
      </c>
      <c r="H3" s="13">
        <f>VLOOKUP(B3, Compile!B:AJ, 35, FALSE)</f>
        <v>1.2380184828943789E-2</v>
      </c>
      <c r="I3" s="13">
        <f>VLOOKUP(B3, Compile!B:AL, 36, FALSE)</f>
        <v>-0.14479976059761435</v>
      </c>
      <c r="J3" s="13">
        <f>VLOOKUP(B3, Compile!B:AL, 37, FALSE)</f>
        <v>1.2391995095826787</v>
      </c>
      <c r="K3" s="14">
        <f>-(VLOOKUP(B3, Compile!B:AM, 38, FALSE))</f>
        <v>7.5217726789118006E-2</v>
      </c>
      <c r="L3" s="14">
        <f>VLOOKUP(B3, Compile!B:AN, 39, FALSE)</f>
        <v>0.47767653552847694</v>
      </c>
    </row>
    <row r="4" spans="1:12" ht="17.5" x14ac:dyDescent="0.45">
      <c r="A4" s="11">
        <v>3</v>
      </c>
      <c r="B4" s="11" t="s">
        <v>13</v>
      </c>
      <c r="C4" s="13">
        <f>VLOOKUP(B4, Compile!B:V, 21, FALSE)</f>
        <v>-0.13211218382702442</v>
      </c>
      <c r="D4" s="13">
        <f>-(VLOOKUP(B4, Compile!B:AA, 26, FALSE))</f>
        <v>0.46339510714702042</v>
      </c>
      <c r="E4" s="13">
        <f>-(VLOOKUP(B4, Compile!B:X, 23, FALSE))</f>
        <v>0.39019838656220224</v>
      </c>
      <c r="F4" s="13">
        <f>-(VLOOKUP(B4, Compile!B:Z, 25, FALSE))</f>
        <v>-2.9191721483142391E-2</v>
      </c>
      <c r="G4" s="13">
        <f>-(VLOOKUP(B4, Compile!B:AB, 27, FALSE))</f>
        <v>-0.61119602469373946</v>
      </c>
      <c r="H4" s="13">
        <f>VLOOKUP(B4, Compile!B:AJ, 35, FALSE)</f>
        <v>-1.0836282670749138</v>
      </c>
      <c r="I4" s="13">
        <f>VLOOKUP(B4, Compile!B:AL, 36, FALSE)</f>
        <v>-1.0012350845979927</v>
      </c>
      <c r="J4" s="13">
        <f>VLOOKUP(B4, Compile!B:AL, 37, FALSE)</f>
        <v>-0.72895808810514795</v>
      </c>
      <c r="K4" s="14">
        <f>-(VLOOKUP(B4, Compile!B:AM, 38, FALSE))</f>
        <v>-3.0254506959692985E-2</v>
      </c>
      <c r="L4" s="14">
        <f>VLOOKUP(B4, Compile!B:AN, 39, FALSE)</f>
        <v>-0.4633004975235151</v>
      </c>
    </row>
    <row r="5" spans="1:12" ht="17.5" x14ac:dyDescent="0.45">
      <c r="A5" s="11">
        <v>4</v>
      </c>
      <c r="B5" s="11" t="s">
        <v>14</v>
      </c>
      <c r="C5" s="13">
        <f>VLOOKUP(B5, Compile!B:V, 21, FALSE)</f>
        <v>-0.25406189197504681</v>
      </c>
      <c r="D5" s="13">
        <f>-(VLOOKUP(B5, Compile!B:AA, 26, FALSE))</f>
        <v>0.57980353986028133</v>
      </c>
      <c r="E5" s="13">
        <f>-(VLOOKUP(B5, Compile!B:X, 23, FALSE))</f>
        <v>-0.5016836398656892</v>
      </c>
      <c r="F5" s="13">
        <f>-(VLOOKUP(B5, Compile!B:Z, 25, FALSE))</f>
        <v>-1.6906176984665542</v>
      </c>
      <c r="G5" s="13">
        <f>-(VLOOKUP(B5, Compile!B:AB, 27, FALSE))</f>
        <v>0.59589392236542904</v>
      </c>
      <c r="H5" s="13">
        <f>VLOOKUP(B5, Compile!B:AJ, 35, FALSE)</f>
        <v>-0.88561428020083577</v>
      </c>
      <c r="I5" s="13">
        <f>VLOOKUP(B5, Compile!B:AL, 36, FALSE)</f>
        <v>-1.1709486461781202</v>
      </c>
      <c r="J5" s="13">
        <f>VLOOKUP(B5, Compile!B:AL, 37, FALSE)</f>
        <v>-0.66755367635140506</v>
      </c>
      <c r="K5" s="14">
        <f>-(VLOOKUP(B5, Compile!B:AM, 38, FALSE))</f>
        <v>0.46194925053475866</v>
      </c>
      <c r="L5" s="14">
        <f>VLOOKUP(B5, Compile!B:AN, 39, FALSE)</f>
        <v>-1.6512840017516563</v>
      </c>
    </row>
    <row r="6" spans="1:12" ht="17.5" x14ac:dyDescent="0.45">
      <c r="A6" s="11">
        <v>5</v>
      </c>
      <c r="B6" s="11" t="s">
        <v>15</v>
      </c>
      <c r="C6" s="13">
        <f>VLOOKUP(B6, Compile!B:V, 21, FALSE)</f>
        <v>1.2093346058012187</v>
      </c>
      <c r="D6" s="13">
        <f>-(VLOOKUP(B6, Compile!B:AA, 26, FALSE))</f>
        <v>1.4080943110892545</v>
      </c>
      <c r="E6" s="13">
        <f>-(VLOOKUP(B6, Compile!B:X, 23, FALSE))</f>
        <v>-1.5050509195970669</v>
      </c>
      <c r="F6" s="13">
        <f>-(VLOOKUP(B6, Compile!B:Z, 25, FALSE))</f>
        <v>1.45207963149002</v>
      </c>
      <c r="G6" s="13">
        <f>-(VLOOKUP(B6, Compile!B:AB, 27, FALSE))</f>
        <v>1.2025129789520399</v>
      </c>
      <c r="H6" s="13">
        <f>VLOOKUP(B6, Compile!B:AJ, 35, FALSE)</f>
        <v>1.4013748492862963</v>
      </c>
      <c r="I6" s="13">
        <f>VLOOKUP(B6, Compile!B:AL, 36, FALSE)</f>
        <v>1.4871478646629492</v>
      </c>
      <c r="J6" s="13">
        <f>VLOOKUP(B6, Compile!B:AL, 37, FALSE)</f>
        <v>-0.59035955871812829</v>
      </c>
      <c r="K6" s="14">
        <f>-(VLOOKUP(B6, Compile!B:AM, 38, FALSE))</f>
        <v>1.0876076711399507</v>
      </c>
      <c r="L6" s="14">
        <f>VLOOKUP(B6, Compile!B:AN, 39, FALSE)</f>
        <v>-0.21629402634736744</v>
      </c>
    </row>
    <row r="7" spans="1:12" ht="17.5" x14ac:dyDescent="0.45">
      <c r="A7" s="11">
        <v>6</v>
      </c>
      <c r="B7" s="11" t="s">
        <v>16</v>
      </c>
      <c r="C7" s="13">
        <f>VLOOKUP(B7, Compile!B:V, 21, FALSE)</f>
        <v>-0.53861121098709819</v>
      </c>
      <c r="D7" s="13">
        <f>-(VLOOKUP(B7, Compile!B:AA, 26, FALSE))</f>
        <v>-0.3783274063180983</v>
      </c>
      <c r="E7" s="13">
        <f>-(VLOOKUP(B7, Compile!B:X, 23, FALSE))</f>
        <v>-0.16103425477170266</v>
      </c>
      <c r="F7" s="13">
        <f>-(VLOOKUP(B7, Compile!B:Z, 25, FALSE))</f>
        <v>2.0851229630815791E-2</v>
      </c>
      <c r="G7" s="13">
        <f>-(VLOOKUP(B7, Compile!B:AB, 27, FALSE))</f>
        <v>-0.88171533371209299</v>
      </c>
      <c r="H7" s="13">
        <f>VLOOKUP(B7, Compile!B:AJ, 35, FALSE)</f>
        <v>-0.40164906045321952</v>
      </c>
      <c r="I7" s="13">
        <f>VLOOKUP(B7, Compile!B:AL, 36, FALSE)</f>
        <v>0.25756749136056867</v>
      </c>
      <c r="J7" s="13">
        <f>VLOOKUP(B7, Compile!B:AL, 37, FALSE)</f>
        <v>-0.59035955871812829</v>
      </c>
      <c r="K7" s="14">
        <f>-(VLOOKUP(B7, Compile!B:AM, 38, FALSE))</f>
        <v>-1.8756598484695035</v>
      </c>
      <c r="L7" s="14">
        <f>VLOOKUP(B7, Compile!B:AN, 39, FALSE)</f>
        <v>1.1089152952008552</v>
      </c>
    </row>
    <row r="8" spans="1:12" ht="17.5" x14ac:dyDescent="0.45">
      <c r="C8" s="9"/>
      <c r="D8" s="9"/>
      <c r="E8" s="9"/>
      <c r="F8" s="9"/>
      <c r="G8" s="9"/>
      <c r="H8" s="9"/>
      <c r="I8" s="9"/>
      <c r="J8" s="9"/>
    </row>
  </sheetData>
  <conditionalFormatting sqref="C2:L7">
    <cfRule type="colorScale" priority="1">
      <colorScale>
        <cfvo type="num" val="0"/>
        <cfvo type="max"/>
        <color rgb="FFFCFCFF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9F02-EA4C-455B-B828-F92CC1A48C80}">
  <dimension ref="A1:C15"/>
  <sheetViews>
    <sheetView workbookViewId="0">
      <selection activeCell="A12" sqref="A12"/>
    </sheetView>
  </sheetViews>
  <sheetFormatPr defaultRowHeight="16" x14ac:dyDescent="0.4"/>
  <sheetData>
    <row r="1" spans="1:3" x14ac:dyDescent="0.4">
      <c r="A1" t="s">
        <v>113</v>
      </c>
      <c r="B1" t="s">
        <v>0</v>
      </c>
      <c r="C1" t="s">
        <v>185</v>
      </c>
    </row>
    <row r="2" spans="1:3" x14ac:dyDescent="0.4">
      <c r="A2">
        <v>1</v>
      </c>
      <c r="B2" t="s">
        <v>13</v>
      </c>
      <c r="C2">
        <v>58.99</v>
      </c>
    </row>
    <row r="3" spans="1:3" x14ac:dyDescent="0.4">
      <c r="A3">
        <v>2</v>
      </c>
      <c r="B3" t="s">
        <v>12</v>
      </c>
      <c r="C3">
        <v>72.209999999999994</v>
      </c>
    </row>
    <row r="4" spans="1:3" x14ac:dyDescent="0.4">
      <c r="A4">
        <v>3</v>
      </c>
      <c r="B4" t="s">
        <v>11</v>
      </c>
      <c r="C4">
        <v>23.4</v>
      </c>
    </row>
    <row r="5" spans="1:3" x14ac:dyDescent="0.4">
      <c r="A5">
        <v>4</v>
      </c>
      <c r="B5" t="s">
        <v>15</v>
      </c>
      <c r="C5">
        <v>14.74</v>
      </c>
    </row>
    <row r="6" spans="1:3" x14ac:dyDescent="0.4">
      <c r="A6">
        <v>5</v>
      </c>
      <c r="B6" t="s">
        <v>14</v>
      </c>
      <c r="C6">
        <v>29.54</v>
      </c>
    </row>
    <row r="7" spans="1:3" x14ac:dyDescent="0.4">
      <c r="A7">
        <v>6</v>
      </c>
      <c r="B7" t="s">
        <v>16</v>
      </c>
      <c r="C7">
        <v>65.59</v>
      </c>
    </row>
    <row r="8" spans="1:3" x14ac:dyDescent="0.4">
      <c r="B8" t="s">
        <v>136</v>
      </c>
      <c r="C8">
        <v>44.07</v>
      </c>
    </row>
    <row r="12" spans="1:3" x14ac:dyDescent="0.4">
      <c r="A12" t="s">
        <v>186</v>
      </c>
    </row>
    <row r="13" spans="1:3" x14ac:dyDescent="0.4">
      <c r="A13" t="s">
        <v>134</v>
      </c>
    </row>
    <row r="15" spans="1:3" x14ac:dyDescent="0.4">
      <c r="A15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5D61-5EE5-4E75-A49E-66360E9710AF}">
  <dimension ref="A1:E8"/>
  <sheetViews>
    <sheetView workbookViewId="0">
      <selection activeCell="D12" sqref="D12"/>
    </sheetView>
  </sheetViews>
  <sheetFormatPr defaultRowHeight="16" x14ac:dyDescent="0.4"/>
  <cols>
    <col min="1" max="1" width="15.25" bestFit="1" customWidth="1"/>
    <col min="2" max="2" width="21.33203125" customWidth="1"/>
    <col min="3" max="3" width="8.6640625" customWidth="1"/>
    <col min="4" max="4" width="10.58203125" customWidth="1"/>
    <col min="5" max="5" width="12.6640625" customWidth="1"/>
  </cols>
  <sheetData>
    <row r="1" spans="1:5" ht="64" x14ac:dyDescent="0.4">
      <c r="A1" t="s">
        <v>72</v>
      </c>
      <c r="B1" s="1" t="s">
        <v>180</v>
      </c>
      <c r="C1" s="1" t="s">
        <v>181</v>
      </c>
      <c r="D1" s="1" t="s">
        <v>182</v>
      </c>
      <c r="E1" s="1" t="s">
        <v>183</v>
      </c>
    </row>
    <row r="2" spans="1:5" x14ac:dyDescent="0.4">
      <c r="A2" t="s">
        <v>11</v>
      </c>
      <c r="B2" t="s">
        <v>184</v>
      </c>
      <c r="C2">
        <v>3</v>
      </c>
      <c r="D2" t="s">
        <v>184</v>
      </c>
      <c r="E2">
        <v>21</v>
      </c>
    </row>
    <row r="3" spans="1:5" x14ac:dyDescent="0.4">
      <c r="A3" t="s">
        <v>12</v>
      </c>
      <c r="B3" t="s">
        <v>184</v>
      </c>
      <c r="C3">
        <v>2</v>
      </c>
      <c r="D3" t="s">
        <v>184</v>
      </c>
      <c r="E3">
        <v>25</v>
      </c>
    </row>
    <row r="4" spans="1:5" x14ac:dyDescent="0.4">
      <c r="A4" t="s">
        <v>13</v>
      </c>
      <c r="B4" t="s">
        <v>184</v>
      </c>
      <c r="C4">
        <v>4</v>
      </c>
      <c r="D4" t="s">
        <v>184</v>
      </c>
      <c r="E4">
        <v>12</v>
      </c>
    </row>
    <row r="5" spans="1:5" x14ac:dyDescent="0.4">
      <c r="A5" t="s">
        <v>14</v>
      </c>
      <c r="B5" t="s">
        <v>184</v>
      </c>
      <c r="C5">
        <v>3</v>
      </c>
      <c r="D5" t="s">
        <v>184</v>
      </c>
      <c r="E5">
        <v>16</v>
      </c>
    </row>
    <row r="6" spans="1:5" x14ac:dyDescent="0.4">
      <c r="A6" t="s">
        <v>15</v>
      </c>
      <c r="B6" t="s">
        <v>184</v>
      </c>
      <c r="C6">
        <v>1</v>
      </c>
      <c r="D6" t="s">
        <v>184</v>
      </c>
      <c r="E6">
        <v>20</v>
      </c>
    </row>
    <row r="7" spans="1:5" x14ac:dyDescent="0.4">
      <c r="A7" t="s">
        <v>16</v>
      </c>
      <c r="B7" t="s">
        <v>184</v>
      </c>
      <c r="C7">
        <v>0</v>
      </c>
      <c r="D7" t="s">
        <v>184</v>
      </c>
      <c r="E7">
        <v>10</v>
      </c>
    </row>
    <row r="8" spans="1:5" x14ac:dyDescent="0.4">
      <c r="A8" t="s">
        <v>88</v>
      </c>
      <c r="B8" t="s">
        <v>184</v>
      </c>
      <c r="C8">
        <v>13</v>
      </c>
      <c r="D8" t="s">
        <v>184</v>
      </c>
      <c r="E8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EFCF-116A-4894-B787-3F1FB5F9CCFE}">
  <dimension ref="A1:M13"/>
  <sheetViews>
    <sheetView workbookViewId="0">
      <selection activeCell="A14" sqref="A14"/>
    </sheetView>
  </sheetViews>
  <sheetFormatPr defaultRowHeight="16" x14ac:dyDescent="0.4"/>
  <cols>
    <col min="1" max="1" width="13.83203125" customWidth="1"/>
    <col min="2" max="2" width="11.83203125" bestFit="1" customWidth="1"/>
    <col min="3" max="3" width="12.75" bestFit="1" customWidth="1"/>
    <col min="4" max="4" width="17.83203125" bestFit="1" customWidth="1"/>
    <col min="5" max="5" width="10.6640625" customWidth="1"/>
    <col min="6" max="6" width="11.83203125" customWidth="1"/>
    <col min="7" max="7" width="10.83203125" customWidth="1"/>
    <col min="8" max="8" width="10.08203125" customWidth="1"/>
    <col min="10" max="10" width="10.33203125" customWidth="1"/>
    <col min="11" max="12" width="10.08203125" customWidth="1"/>
  </cols>
  <sheetData>
    <row r="1" spans="1:13" ht="80" x14ac:dyDescent="0.4">
      <c r="A1" s="2" t="s">
        <v>72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  <c r="M1" t="s">
        <v>172</v>
      </c>
    </row>
    <row r="2" spans="1:13" x14ac:dyDescent="0.4">
      <c r="A2" t="s">
        <v>11</v>
      </c>
      <c r="B2">
        <v>61</v>
      </c>
      <c r="C2" t="s">
        <v>103</v>
      </c>
      <c r="D2">
        <v>412</v>
      </c>
      <c r="E2">
        <v>259</v>
      </c>
      <c r="F2">
        <v>59</v>
      </c>
      <c r="G2">
        <v>75</v>
      </c>
      <c r="H2">
        <v>27</v>
      </c>
      <c r="I2">
        <v>50</v>
      </c>
      <c r="J2">
        <v>0</v>
      </c>
      <c r="K2">
        <v>11</v>
      </c>
      <c r="L2">
        <v>38</v>
      </c>
      <c r="M2" t="s">
        <v>103</v>
      </c>
    </row>
    <row r="3" spans="1:13" x14ac:dyDescent="0.4">
      <c r="A3" t="s">
        <v>12</v>
      </c>
      <c r="B3">
        <v>109</v>
      </c>
      <c r="C3" t="s">
        <v>103</v>
      </c>
      <c r="D3">
        <v>638</v>
      </c>
      <c r="E3">
        <v>318</v>
      </c>
      <c r="F3">
        <v>72</v>
      </c>
      <c r="G3">
        <v>114</v>
      </c>
      <c r="H3">
        <v>24</v>
      </c>
      <c r="I3">
        <v>52</v>
      </c>
      <c r="J3">
        <v>4</v>
      </c>
      <c r="K3">
        <v>14</v>
      </c>
      <c r="L3">
        <v>55</v>
      </c>
      <c r="M3" t="s">
        <v>103</v>
      </c>
    </row>
    <row r="4" spans="1:13" x14ac:dyDescent="0.4">
      <c r="A4" t="s">
        <v>13</v>
      </c>
      <c r="B4">
        <v>42</v>
      </c>
      <c r="C4">
        <v>1</v>
      </c>
      <c r="D4">
        <v>303</v>
      </c>
      <c r="E4">
        <v>200</v>
      </c>
      <c r="F4">
        <v>40</v>
      </c>
      <c r="G4">
        <v>39</v>
      </c>
      <c r="H4">
        <v>25</v>
      </c>
      <c r="I4">
        <v>31</v>
      </c>
      <c r="J4">
        <v>1</v>
      </c>
      <c r="K4">
        <v>8</v>
      </c>
      <c r="L4">
        <v>30</v>
      </c>
      <c r="M4" t="s">
        <v>103</v>
      </c>
    </row>
    <row r="5" spans="1:13" x14ac:dyDescent="0.4">
      <c r="A5" t="s">
        <v>14</v>
      </c>
      <c r="B5">
        <v>8</v>
      </c>
      <c r="C5" t="s">
        <v>103</v>
      </c>
      <c r="D5">
        <v>210</v>
      </c>
      <c r="E5">
        <v>98</v>
      </c>
      <c r="F5">
        <v>26</v>
      </c>
      <c r="G5">
        <v>61</v>
      </c>
      <c r="H5">
        <v>16</v>
      </c>
      <c r="I5">
        <v>35</v>
      </c>
      <c r="J5" t="s">
        <v>103</v>
      </c>
      <c r="K5" t="s">
        <v>103</v>
      </c>
      <c r="L5">
        <v>14</v>
      </c>
      <c r="M5" t="s">
        <v>103</v>
      </c>
    </row>
    <row r="6" spans="1:13" x14ac:dyDescent="0.4">
      <c r="A6" t="s">
        <v>15</v>
      </c>
      <c r="B6">
        <v>20</v>
      </c>
      <c r="C6" t="s">
        <v>103</v>
      </c>
      <c r="D6">
        <v>105</v>
      </c>
      <c r="E6">
        <v>70</v>
      </c>
      <c r="F6">
        <v>16</v>
      </c>
      <c r="G6">
        <v>23</v>
      </c>
      <c r="H6">
        <v>13</v>
      </c>
      <c r="I6">
        <v>19</v>
      </c>
      <c r="J6" t="s">
        <v>103</v>
      </c>
      <c r="K6">
        <v>3</v>
      </c>
      <c r="L6">
        <v>12</v>
      </c>
      <c r="M6" t="s">
        <v>103</v>
      </c>
    </row>
    <row r="7" spans="1:13" x14ac:dyDescent="0.4">
      <c r="A7" t="s">
        <v>16</v>
      </c>
      <c r="B7">
        <v>171</v>
      </c>
      <c r="C7">
        <v>1</v>
      </c>
      <c r="D7">
        <v>687</v>
      </c>
      <c r="E7">
        <v>307</v>
      </c>
      <c r="F7">
        <v>116</v>
      </c>
      <c r="G7">
        <v>92</v>
      </c>
      <c r="H7">
        <v>33</v>
      </c>
      <c r="I7">
        <v>40</v>
      </c>
      <c r="J7">
        <v>5</v>
      </c>
      <c r="K7">
        <v>35</v>
      </c>
      <c r="L7">
        <v>61</v>
      </c>
      <c r="M7" t="s">
        <v>103</v>
      </c>
    </row>
    <row r="8" spans="1:13" x14ac:dyDescent="0.4">
      <c r="A8" t="s">
        <v>88</v>
      </c>
      <c r="B8">
        <v>411</v>
      </c>
      <c r="C8">
        <v>2</v>
      </c>
      <c r="D8">
        <v>2355</v>
      </c>
      <c r="E8">
        <v>1252</v>
      </c>
      <c r="F8">
        <v>329</v>
      </c>
      <c r="G8">
        <v>404</v>
      </c>
      <c r="H8">
        <v>138</v>
      </c>
      <c r="I8">
        <v>227</v>
      </c>
      <c r="J8">
        <v>10</v>
      </c>
      <c r="K8">
        <v>71</v>
      </c>
      <c r="L8">
        <v>210</v>
      </c>
      <c r="M8" t="s">
        <v>103</v>
      </c>
    </row>
    <row r="12" spans="1:13" ht="128" x14ac:dyDescent="0.4">
      <c r="A12" s="1" t="s">
        <v>188</v>
      </c>
    </row>
    <row r="13" spans="1:13" x14ac:dyDescent="0.4">
      <c r="A13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7B46-C83D-6C41-9B5F-0B531866A4D4}">
  <dimension ref="A1:K27"/>
  <sheetViews>
    <sheetView zoomScale="125" workbookViewId="0">
      <selection sqref="A1:A7"/>
    </sheetView>
  </sheetViews>
  <sheetFormatPr defaultColWidth="10.6640625" defaultRowHeight="16" x14ac:dyDescent="0.4"/>
  <cols>
    <col min="2" max="2" width="12" customWidth="1"/>
    <col min="3" max="3" width="14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37.4</v>
      </c>
      <c r="C2" t="s">
        <v>36</v>
      </c>
      <c r="D2">
        <v>33.700000000000003</v>
      </c>
      <c r="E2" t="s">
        <v>37</v>
      </c>
      <c r="F2">
        <v>4.4000000000000004</v>
      </c>
      <c r="G2" t="s">
        <v>38</v>
      </c>
      <c r="H2">
        <v>10.5</v>
      </c>
      <c r="I2" t="s">
        <v>39</v>
      </c>
      <c r="J2">
        <v>0.9</v>
      </c>
      <c r="K2" t="s">
        <v>40</v>
      </c>
    </row>
    <row r="3" spans="1:11" x14ac:dyDescent="0.4">
      <c r="A3" t="s">
        <v>12</v>
      </c>
      <c r="B3">
        <v>25.1</v>
      </c>
      <c r="C3" t="s">
        <v>41</v>
      </c>
      <c r="D3">
        <v>23.5</v>
      </c>
      <c r="E3" t="s">
        <v>42</v>
      </c>
      <c r="F3">
        <v>0.7</v>
      </c>
      <c r="G3" t="s">
        <v>43</v>
      </c>
      <c r="H3">
        <v>10.3</v>
      </c>
      <c r="I3" t="s">
        <v>44</v>
      </c>
      <c r="J3">
        <v>4.0999999999999996</v>
      </c>
      <c r="K3" t="s">
        <v>45</v>
      </c>
    </row>
    <row r="4" spans="1:11" x14ac:dyDescent="0.4">
      <c r="A4" t="s">
        <v>13</v>
      </c>
      <c r="B4">
        <v>31.3</v>
      </c>
      <c r="C4" t="s">
        <v>46</v>
      </c>
      <c r="D4">
        <v>30.3</v>
      </c>
      <c r="E4" t="s">
        <v>47</v>
      </c>
      <c r="F4">
        <v>4.2</v>
      </c>
      <c r="G4" t="s">
        <v>48</v>
      </c>
      <c r="H4">
        <v>16.100000000000001</v>
      </c>
      <c r="I4" t="s">
        <v>49</v>
      </c>
      <c r="J4">
        <v>2.6</v>
      </c>
      <c r="K4" t="s">
        <v>50</v>
      </c>
    </row>
    <row r="5" spans="1:11" x14ac:dyDescent="0.4">
      <c r="A5" t="s">
        <v>14</v>
      </c>
      <c r="B5">
        <v>30.7</v>
      </c>
      <c r="C5" t="s">
        <v>51</v>
      </c>
      <c r="D5">
        <v>24</v>
      </c>
      <c r="E5" t="s">
        <v>52</v>
      </c>
      <c r="F5">
        <v>1.3</v>
      </c>
      <c r="G5" t="s">
        <v>53</v>
      </c>
      <c r="H5">
        <v>6.4</v>
      </c>
      <c r="I5" t="s">
        <v>54</v>
      </c>
      <c r="J5">
        <v>1.3</v>
      </c>
      <c r="K5" t="s">
        <v>55</v>
      </c>
    </row>
    <row r="6" spans="1:11" x14ac:dyDescent="0.4">
      <c r="A6" t="s">
        <v>15</v>
      </c>
      <c r="B6">
        <v>37.9</v>
      </c>
      <c r="C6" t="s">
        <v>56</v>
      </c>
      <c r="D6">
        <v>26.5</v>
      </c>
      <c r="E6" t="s">
        <v>57</v>
      </c>
      <c r="F6">
        <v>2.2000000000000002</v>
      </c>
      <c r="G6" t="s">
        <v>58</v>
      </c>
      <c r="H6">
        <v>8.6999999999999993</v>
      </c>
      <c r="I6" t="s">
        <v>59</v>
      </c>
      <c r="J6">
        <v>1.1000000000000001</v>
      </c>
      <c r="K6" t="s">
        <v>60</v>
      </c>
    </row>
    <row r="7" spans="1:11" x14ac:dyDescent="0.4">
      <c r="A7" t="s">
        <v>16</v>
      </c>
      <c r="B7">
        <v>29.3</v>
      </c>
      <c r="C7" t="s">
        <v>61</v>
      </c>
      <c r="D7">
        <v>30.3</v>
      </c>
      <c r="E7" t="s">
        <v>62</v>
      </c>
      <c r="F7">
        <v>5.4</v>
      </c>
      <c r="G7" t="s">
        <v>63</v>
      </c>
      <c r="H7">
        <v>8.1</v>
      </c>
      <c r="I7" t="s">
        <v>64</v>
      </c>
      <c r="J7">
        <v>1.6</v>
      </c>
      <c r="K7" t="s">
        <v>65</v>
      </c>
    </row>
    <row r="27" spans="2:2" x14ac:dyDescent="0.4">
      <c r="B27" t="s">
        <v>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579F-1828-4D13-BEC8-D00441EFFE22}">
  <dimension ref="A1:C17"/>
  <sheetViews>
    <sheetView workbookViewId="0">
      <selection activeCell="B21" sqref="B21"/>
    </sheetView>
  </sheetViews>
  <sheetFormatPr defaultRowHeight="16" x14ac:dyDescent="0.4"/>
  <cols>
    <col min="2" max="2" width="21.58203125" customWidth="1"/>
  </cols>
  <sheetData>
    <row r="1" spans="1:3" x14ac:dyDescent="0.4">
      <c r="A1" t="s">
        <v>113</v>
      </c>
      <c r="B1" t="s">
        <v>0</v>
      </c>
      <c r="C1" t="s">
        <v>135</v>
      </c>
    </row>
    <row r="2" spans="1:3" x14ac:dyDescent="0.4">
      <c r="A2">
        <v>1</v>
      </c>
      <c r="B2" t="s">
        <v>13</v>
      </c>
      <c r="C2">
        <v>77.900000000000006</v>
      </c>
    </row>
    <row r="3" spans="1:3" x14ac:dyDescent="0.4">
      <c r="A3">
        <v>2</v>
      </c>
      <c r="B3" t="s">
        <v>12</v>
      </c>
      <c r="C3">
        <v>56.7</v>
      </c>
    </row>
    <row r="4" spans="1:3" x14ac:dyDescent="0.4">
      <c r="A4">
        <v>3</v>
      </c>
      <c r="B4" t="s">
        <v>11</v>
      </c>
      <c r="C4">
        <v>21.7</v>
      </c>
    </row>
    <row r="5" spans="1:3" x14ac:dyDescent="0.4">
      <c r="A5">
        <v>4</v>
      </c>
      <c r="B5" t="s">
        <v>15</v>
      </c>
      <c r="C5">
        <v>21.5</v>
      </c>
    </row>
    <row r="6" spans="1:3" x14ac:dyDescent="0.4">
      <c r="A6">
        <v>5</v>
      </c>
      <c r="B6" t="s">
        <v>14</v>
      </c>
      <c r="C6">
        <v>0</v>
      </c>
    </row>
    <row r="7" spans="1:3" x14ac:dyDescent="0.4">
      <c r="A7">
        <v>6</v>
      </c>
      <c r="B7" t="s">
        <v>16</v>
      </c>
      <c r="C7">
        <v>96.6</v>
      </c>
    </row>
    <row r="8" spans="1:3" x14ac:dyDescent="0.4">
      <c r="B8" t="s">
        <v>136</v>
      </c>
    </row>
    <row r="12" spans="1:3" ht="128" x14ac:dyDescent="0.4">
      <c r="B12" s="1" t="s">
        <v>190</v>
      </c>
    </row>
    <row r="14" spans="1:3" x14ac:dyDescent="0.4">
      <c r="B14" t="s">
        <v>135</v>
      </c>
    </row>
    <row r="17" spans="2:2" x14ac:dyDescent="0.4">
      <c r="B17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00BD-0850-4CDB-A9C5-BD3EBC16951E}">
  <dimension ref="A1:E11"/>
  <sheetViews>
    <sheetView workbookViewId="0">
      <selection activeCell="D2" sqref="D2"/>
    </sheetView>
  </sheetViews>
  <sheetFormatPr defaultRowHeight="16" x14ac:dyDescent="0.4"/>
  <cols>
    <col min="1" max="1" width="4.08203125" customWidth="1"/>
    <col min="2" max="2" width="16" bestFit="1" customWidth="1"/>
    <col min="3" max="3" width="12.08203125" customWidth="1"/>
    <col min="4" max="4" width="12.4140625" customWidth="1"/>
    <col min="5" max="5" width="11.83203125" customWidth="1"/>
  </cols>
  <sheetData>
    <row r="1" spans="1:5" x14ac:dyDescent="0.4">
      <c r="A1" t="s">
        <v>113</v>
      </c>
      <c r="B1" t="s">
        <v>72</v>
      </c>
      <c r="C1" t="s">
        <v>121</v>
      </c>
      <c r="D1" t="s">
        <v>122</v>
      </c>
      <c r="E1" t="s">
        <v>123</v>
      </c>
    </row>
    <row r="2" spans="1:5" x14ac:dyDescent="0.4">
      <c r="A2">
        <v>1</v>
      </c>
      <c r="B2" t="s">
        <v>124</v>
      </c>
      <c r="C2">
        <v>5</v>
      </c>
      <c r="D2">
        <v>59</v>
      </c>
      <c r="E2">
        <v>9</v>
      </c>
    </row>
    <row r="3" spans="1:5" x14ac:dyDescent="0.4">
      <c r="A3">
        <v>2</v>
      </c>
      <c r="B3" t="s">
        <v>125</v>
      </c>
      <c r="C3">
        <v>90</v>
      </c>
      <c r="D3">
        <v>54</v>
      </c>
      <c r="E3">
        <v>54</v>
      </c>
    </row>
    <row r="4" spans="1:5" x14ac:dyDescent="0.4">
      <c r="A4">
        <v>3</v>
      </c>
      <c r="B4" t="s">
        <v>126</v>
      </c>
      <c r="C4">
        <v>22.5</v>
      </c>
      <c r="D4">
        <v>57.5</v>
      </c>
      <c r="E4">
        <v>42</v>
      </c>
    </row>
    <row r="5" spans="1:5" x14ac:dyDescent="0.4">
      <c r="A5">
        <v>4</v>
      </c>
      <c r="B5" t="s">
        <v>127</v>
      </c>
      <c r="C5">
        <v>40</v>
      </c>
      <c r="D5">
        <v>30</v>
      </c>
      <c r="E5">
        <v>0</v>
      </c>
    </row>
    <row r="6" spans="1:5" x14ac:dyDescent="0.4">
      <c r="A6">
        <v>5</v>
      </c>
      <c r="B6" t="s">
        <v>128</v>
      </c>
      <c r="C6">
        <v>37.5</v>
      </c>
      <c r="D6">
        <v>92.7</v>
      </c>
      <c r="E6">
        <v>32</v>
      </c>
    </row>
    <row r="7" spans="1:5" x14ac:dyDescent="0.4">
      <c r="A7">
        <v>6</v>
      </c>
      <c r="B7" t="s">
        <v>129</v>
      </c>
      <c r="C7">
        <v>0</v>
      </c>
      <c r="D7">
        <v>58</v>
      </c>
      <c r="E7">
        <v>13</v>
      </c>
    </row>
    <row r="8" spans="1:5" x14ac:dyDescent="0.4">
      <c r="B8" t="s">
        <v>130</v>
      </c>
      <c r="C8">
        <v>10</v>
      </c>
      <c r="D8">
        <v>10</v>
      </c>
    </row>
    <row r="11" spans="1:5" ht="96" x14ac:dyDescent="0.4">
      <c r="B11" s="1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ADC2-D042-4EC4-B2E2-2466E04D8888}">
  <dimension ref="A1:T12"/>
  <sheetViews>
    <sheetView workbookViewId="0">
      <selection activeCell="Q9" sqref="Q9"/>
    </sheetView>
  </sheetViews>
  <sheetFormatPr defaultRowHeight="16" x14ac:dyDescent="0.4"/>
  <cols>
    <col min="2" max="2" width="10.83203125" customWidth="1"/>
    <col min="3" max="3" width="16" bestFit="1" customWidth="1"/>
    <col min="5" max="5" width="11.83203125" customWidth="1"/>
    <col min="14" max="14" width="15.58203125" customWidth="1"/>
    <col min="18" max="18" width="11.9140625" customWidth="1"/>
  </cols>
  <sheetData>
    <row r="1" spans="1:20" ht="128" x14ac:dyDescent="0.4">
      <c r="A1" s="2" t="s">
        <v>66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144</v>
      </c>
      <c r="J1" s="2" t="s">
        <v>145</v>
      </c>
      <c r="K1" s="2" t="s">
        <v>146</v>
      </c>
      <c r="L1" s="2" t="s">
        <v>147</v>
      </c>
      <c r="M1" s="2" t="s">
        <v>148</v>
      </c>
      <c r="N1" s="2" t="s">
        <v>149</v>
      </c>
      <c r="O1" s="2" t="s">
        <v>150</v>
      </c>
      <c r="P1" s="2" t="s">
        <v>151</v>
      </c>
      <c r="Q1" s="2" t="s">
        <v>152</v>
      </c>
      <c r="R1" s="2" t="s">
        <v>153</v>
      </c>
      <c r="S1" s="2" t="s">
        <v>154</v>
      </c>
      <c r="T1" s="2" t="s">
        <v>155</v>
      </c>
    </row>
    <row r="2" spans="1:20" x14ac:dyDescent="0.4">
      <c r="A2">
        <v>1</v>
      </c>
      <c r="B2">
        <v>9106</v>
      </c>
      <c r="C2" t="s">
        <v>124</v>
      </c>
      <c r="D2">
        <v>16</v>
      </c>
      <c r="E2">
        <v>1322</v>
      </c>
      <c r="F2">
        <v>70</v>
      </c>
      <c r="G2">
        <v>5.3</v>
      </c>
      <c r="H2">
        <v>786</v>
      </c>
      <c r="I2">
        <v>59.5</v>
      </c>
      <c r="J2">
        <v>118</v>
      </c>
      <c r="K2">
        <v>8.9</v>
      </c>
      <c r="L2">
        <v>1255</v>
      </c>
      <c r="M2">
        <v>455</v>
      </c>
      <c r="N2">
        <v>36.299999999999997</v>
      </c>
      <c r="O2">
        <v>31</v>
      </c>
      <c r="P2">
        <v>2.5</v>
      </c>
      <c r="Q2">
        <v>25</v>
      </c>
      <c r="R2">
        <v>2</v>
      </c>
      <c r="S2">
        <v>0</v>
      </c>
      <c r="T2">
        <v>0</v>
      </c>
    </row>
    <row r="3" spans="1:20" x14ac:dyDescent="0.4">
      <c r="A3">
        <v>2</v>
      </c>
      <c r="B3">
        <v>9107</v>
      </c>
      <c r="C3" t="s">
        <v>125</v>
      </c>
      <c r="D3">
        <v>27</v>
      </c>
      <c r="E3">
        <v>2043</v>
      </c>
      <c r="F3">
        <v>1838</v>
      </c>
      <c r="G3">
        <v>90</v>
      </c>
      <c r="H3">
        <v>1142</v>
      </c>
      <c r="I3">
        <v>55.9</v>
      </c>
      <c r="J3">
        <v>1142</v>
      </c>
      <c r="K3">
        <v>55.9</v>
      </c>
      <c r="L3">
        <v>1.95</v>
      </c>
      <c r="M3">
        <v>1490</v>
      </c>
      <c r="N3">
        <v>76.400000000000006</v>
      </c>
      <c r="O3">
        <v>1637</v>
      </c>
      <c r="P3">
        <v>83.9</v>
      </c>
      <c r="Q3">
        <v>1593</v>
      </c>
      <c r="R3">
        <v>81.7</v>
      </c>
      <c r="S3">
        <v>1637</v>
      </c>
      <c r="T3">
        <v>83.9</v>
      </c>
    </row>
    <row r="4" spans="1:20" x14ac:dyDescent="0.4">
      <c r="A4">
        <v>3</v>
      </c>
      <c r="B4">
        <v>9108</v>
      </c>
      <c r="C4" t="s">
        <v>126</v>
      </c>
      <c r="D4">
        <v>21</v>
      </c>
      <c r="E4">
        <v>1321</v>
      </c>
      <c r="F4">
        <v>288</v>
      </c>
      <c r="G4">
        <v>21.8</v>
      </c>
      <c r="H4">
        <v>753</v>
      </c>
      <c r="I4">
        <v>57</v>
      </c>
      <c r="J4">
        <v>553</v>
      </c>
      <c r="K4">
        <v>41.9</v>
      </c>
      <c r="L4">
        <v>1261</v>
      </c>
      <c r="M4">
        <v>797</v>
      </c>
      <c r="N4">
        <v>63.2</v>
      </c>
      <c r="O4">
        <v>571</v>
      </c>
      <c r="P4">
        <v>45.3</v>
      </c>
      <c r="Q4">
        <v>327</v>
      </c>
      <c r="R4">
        <v>25.9</v>
      </c>
      <c r="S4">
        <v>571</v>
      </c>
      <c r="T4">
        <v>45.3</v>
      </c>
    </row>
    <row r="5" spans="1:20" x14ac:dyDescent="0.4">
      <c r="A5">
        <v>4</v>
      </c>
      <c r="B5">
        <v>9109</v>
      </c>
      <c r="C5" t="s">
        <v>127</v>
      </c>
      <c r="D5">
        <v>21</v>
      </c>
      <c r="E5">
        <v>448</v>
      </c>
      <c r="F5">
        <v>181</v>
      </c>
      <c r="G5">
        <v>40.4</v>
      </c>
      <c r="H5">
        <v>134</v>
      </c>
      <c r="I5">
        <v>29.9</v>
      </c>
      <c r="J5">
        <v>0</v>
      </c>
      <c r="K5">
        <v>0</v>
      </c>
      <c r="L5">
        <v>427</v>
      </c>
      <c r="M5">
        <v>65</v>
      </c>
      <c r="N5">
        <v>15.2</v>
      </c>
      <c r="O5">
        <v>78</v>
      </c>
      <c r="P5">
        <v>18.3</v>
      </c>
      <c r="Q5">
        <v>82</v>
      </c>
      <c r="R5">
        <v>19.2</v>
      </c>
      <c r="S5">
        <v>55</v>
      </c>
      <c r="T5">
        <v>12.9</v>
      </c>
    </row>
    <row r="6" spans="1:20" x14ac:dyDescent="0.4">
      <c r="A6">
        <v>5</v>
      </c>
      <c r="B6">
        <v>9110</v>
      </c>
      <c r="C6" t="s">
        <v>128</v>
      </c>
      <c r="D6">
        <v>19</v>
      </c>
      <c r="E6">
        <v>551</v>
      </c>
      <c r="F6">
        <v>209</v>
      </c>
      <c r="G6">
        <v>37.9</v>
      </c>
      <c r="H6">
        <v>511</v>
      </c>
      <c r="I6">
        <v>92.7</v>
      </c>
      <c r="J6">
        <v>172</v>
      </c>
      <c r="K6">
        <v>31.2</v>
      </c>
      <c r="L6">
        <v>526</v>
      </c>
      <c r="M6">
        <v>177</v>
      </c>
      <c r="N6">
        <v>33.700000000000003</v>
      </c>
      <c r="O6">
        <v>166</v>
      </c>
      <c r="P6">
        <v>31.6</v>
      </c>
      <c r="Q6">
        <v>148</v>
      </c>
      <c r="R6">
        <v>28.1</v>
      </c>
      <c r="S6">
        <v>149</v>
      </c>
      <c r="T6">
        <v>28.3</v>
      </c>
    </row>
    <row r="7" spans="1:20" x14ac:dyDescent="0.4">
      <c r="A7">
        <v>6</v>
      </c>
      <c r="B7">
        <v>9171</v>
      </c>
      <c r="C7" t="s">
        <v>129</v>
      </c>
      <c r="D7">
        <v>10</v>
      </c>
      <c r="E7">
        <v>5994</v>
      </c>
      <c r="F7">
        <v>0</v>
      </c>
      <c r="G7">
        <v>0</v>
      </c>
      <c r="H7">
        <v>3504</v>
      </c>
      <c r="I7">
        <v>58.5</v>
      </c>
      <c r="J7">
        <v>790</v>
      </c>
      <c r="K7">
        <v>13.2</v>
      </c>
      <c r="L7">
        <v>5722</v>
      </c>
      <c r="M7">
        <v>3154</v>
      </c>
      <c r="N7">
        <v>55.1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4">
      <c r="A8" t="s">
        <v>156</v>
      </c>
      <c r="E8">
        <v>22763</v>
      </c>
      <c r="F8">
        <v>5256</v>
      </c>
      <c r="G8">
        <v>23.1</v>
      </c>
      <c r="H8">
        <v>11553</v>
      </c>
      <c r="I8">
        <v>50.8</v>
      </c>
      <c r="J8">
        <v>5785</v>
      </c>
      <c r="K8">
        <v>25.4</v>
      </c>
      <c r="L8">
        <v>21707</v>
      </c>
      <c r="M8">
        <v>14179</v>
      </c>
      <c r="N8">
        <v>65.3</v>
      </c>
      <c r="O8">
        <v>6302</v>
      </c>
      <c r="P8">
        <v>29</v>
      </c>
      <c r="Q8">
        <v>4985</v>
      </c>
      <c r="R8">
        <v>23</v>
      </c>
      <c r="S8">
        <v>6330</v>
      </c>
      <c r="T8">
        <v>29.2</v>
      </c>
    </row>
    <row r="12" spans="1:20" ht="176" x14ac:dyDescent="0.4">
      <c r="C12" s="1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3021-7D07-444B-8739-7C61C9C05AFD}">
  <dimension ref="A1:E18"/>
  <sheetViews>
    <sheetView workbookViewId="0">
      <selection activeCell="I15" sqref="I15"/>
    </sheetView>
  </sheetViews>
  <sheetFormatPr defaultRowHeight="16" x14ac:dyDescent="0.4"/>
  <cols>
    <col min="2" max="2" width="19.33203125" customWidth="1"/>
    <col min="3" max="3" width="16.08203125" customWidth="1"/>
    <col min="4" max="5" width="10.83203125" bestFit="1" customWidth="1"/>
  </cols>
  <sheetData>
    <row r="1" spans="1:5" x14ac:dyDescent="0.4">
      <c r="A1" t="s">
        <v>113</v>
      </c>
      <c r="B1" t="s">
        <v>72</v>
      </c>
      <c r="C1" t="s">
        <v>121</v>
      </c>
      <c r="D1" t="s">
        <v>122</v>
      </c>
      <c r="E1" t="s">
        <v>123</v>
      </c>
    </row>
    <row r="2" spans="1:5" x14ac:dyDescent="0.4">
      <c r="A2">
        <v>1</v>
      </c>
      <c r="B2" t="s">
        <v>124</v>
      </c>
      <c r="C2">
        <v>5</v>
      </c>
      <c r="D2">
        <v>59</v>
      </c>
      <c r="E2">
        <v>9</v>
      </c>
    </row>
    <row r="3" spans="1:5" x14ac:dyDescent="0.4">
      <c r="A3">
        <v>2</v>
      </c>
      <c r="B3" t="s">
        <v>125</v>
      </c>
      <c r="C3">
        <v>90</v>
      </c>
      <c r="D3">
        <v>54</v>
      </c>
      <c r="E3">
        <v>54</v>
      </c>
    </row>
    <row r="4" spans="1:5" x14ac:dyDescent="0.4">
      <c r="A4">
        <v>3</v>
      </c>
      <c r="B4" t="s">
        <v>126</v>
      </c>
      <c r="C4">
        <v>22.5</v>
      </c>
      <c r="D4">
        <v>57.5</v>
      </c>
      <c r="E4">
        <v>42</v>
      </c>
    </row>
    <row r="5" spans="1:5" x14ac:dyDescent="0.4">
      <c r="A5">
        <v>4</v>
      </c>
      <c r="B5" t="s">
        <v>127</v>
      </c>
      <c r="C5">
        <v>40</v>
      </c>
      <c r="D5">
        <v>30</v>
      </c>
      <c r="E5">
        <v>0</v>
      </c>
    </row>
    <row r="6" spans="1:5" x14ac:dyDescent="0.4">
      <c r="A6">
        <v>5</v>
      </c>
      <c r="B6" t="s">
        <v>128</v>
      </c>
      <c r="C6">
        <v>37.5</v>
      </c>
      <c r="D6">
        <v>92.7</v>
      </c>
      <c r="E6">
        <v>32</v>
      </c>
    </row>
    <row r="7" spans="1:5" x14ac:dyDescent="0.4">
      <c r="A7">
        <v>6</v>
      </c>
      <c r="B7" t="s">
        <v>129</v>
      </c>
      <c r="C7">
        <v>0</v>
      </c>
      <c r="D7">
        <v>58</v>
      </c>
      <c r="E7">
        <v>13</v>
      </c>
    </row>
    <row r="8" spans="1:5" x14ac:dyDescent="0.4">
      <c r="B8" t="s">
        <v>130</v>
      </c>
      <c r="C8">
        <v>10</v>
      </c>
      <c r="D8">
        <v>10</v>
      </c>
    </row>
    <row r="17" spans="2:3" x14ac:dyDescent="0.4">
      <c r="B17" t="s">
        <v>132</v>
      </c>
      <c r="C17" t="s">
        <v>133</v>
      </c>
    </row>
    <row r="18" spans="2:3" x14ac:dyDescent="0.4">
      <c r="B18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4344-7136-FB43-BBB9-D037A657172A}">
  <dimension ref="A1:H14"/>
  <sheetViews>
    <sheetView workbookViewId="0">
      <selection activeCell="F7" sqref="F7"/>
    </sheetView>
  </sheetViews>
  <sheetFormatPr defaultColWidth="10.6640625" defaultRowHeight="16" x14ac:dyDescent="0.4"/>
  <cols>
    <col min="1" max="1" width="12.33203125" customWidth="1"/>
  </cols>
  <sheetData>
    <row r="1" spans="1:8" x14ac:dyDescent="0.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4">
      <c r="A2" t="s">
        <v>26</v>
      </c>
      <c r="B2">
        <v>9271</v>
      </c>
      <c r="C2" t="s">
        <v>16</v>
      </c>
      <c r="D2" t="s">
        <v>27</v>
      </c>
      <c r="E2">
        <v>2023</v>
      </c>
      <c r="F2">
        <v>74.180000000000007</v>
      </c>
      <c r="G2">
        <v>84</v>
      </c>
      <c r="H2">
        <v>6</v>
      </c>
    </row>
    <row r="3" spans="1:8" x14ac:dyDescent="0.4">
      <c r="A3" t="s">
        <v>26</v>
      </c>
      <c r="B3">
        <v>9212</v>
      </c>
      <c r="C3" t="s">
        <v>28</v>
      </c>
      <c r="D3" t="s">
        <v>29</v>
      </c>
      <c r="E3">
        <v>2023</v>
      </c>
      <c r="F3">
        <v>32.869999999999997</v>
      </c>
      <c r="G3">
        <v>401</v>
      </c>
      <c r="H3">
        <v>1</v>
      </c>
    </row>
    <row r="4" spans="1:8" x14ac:dyDescent="0.4">
      <c r="A4" t="s">
        <v>26</v>
      </c>
      <c r="B4">
        <v>9211</v>
      </c>
      <c r="C4" t="s">
        <v>30</v>
      </c>
      <c r="D4" t="s">
        <v>29</v>
      </c>
      <c r="E4">
        <v>2023</v>
      </c>
      <c r="F4">
        <v>67.12</v>
      </c>
      <c r="G4">
        <v>316</v>
      </c>
      <c r="H4">
        <v>4</v>
      </c>
    </row>
    <row r="5" spans="1:8" x14ac:dyDescent="0.4">
      <c r="A5" t="s">
        <v>26</v>
      </c>
      <c r="B5">
        <v>9210</v>
      </c>
      <c r="C5" t="s">
        <v>14</v>
      </c>
      <c r="D5" t="s">
        <v>29</v>
      </c>
      <c r="E5">
        <v>2023</v>
      </c>
      <c r="F5">
        <v>41.6</v>
      </c>
      <c r="G5">
        <v>395</v>
      </c>
      <c r="H5">
        <v>2</v>
      </c>
    </row>
    <row r="6" spans="1:8" x14ac:dyDescent="0.4">
      <c r="A6" t="s">
        <v>26</v>
      </c>
      <c r="B6">
        <v>9209</v>
      </c>
      <c r="C6" t="s">
        <v>15</v>
      </c>
      <c r="D6" t="s">
        <v>29</v>
      </c>
      <c r="E6">
        <v>2023</v>
      </c>
      <c r="F6">
        <v>32.880000000000003</v>
      </c>
      <c r="G6">
        <v>400</v>
      </c>
      <c r="H6">
        <v>1</v>
      </c>
    </row>
    <row r="7" spans="1:8" x14ac:dyDescent="0.4">
      <c r="A7" t="s">
        <v>26</v>
      </c>
      <c r="B7">
        <v>9205</v>
      </c>
      <c r="C7" t="s">
        <v>11</v>
      </c>
      <c r="D7" t="s">
        <v>29</v>
      </c>
      <c r="E7">
        <v>2023</v>
      </c>
      <c r="F7">
        <v>44.12</v>
      </c>
      <c r="G7">
        <v>393</v>
      </c>
      <c r="H7">
        <v>2</v>
      </c>
    </row>
    <row r="8" spans="1:8" x14ac:dyDescent="0.4">
      <c r="A8" t="s">
        <v>26</v>
      </c>
      <c r="B8">
        <v>9201</v>
      </c>
      <c r="C8" t="s">
        <v>12</v>
      </c>
      <c r="D8" t="s">
        <v>29</v>
      </c>
      <c r="E8">
        <v>2023</v>
      </c>
      <c r="F8">
        <v>46.99</v>
      </c>
      <c r="G8">
        <v>391</v>
      </c>
      <c r="H8">
        <v>2</v>
      </c>
    </row>
    <row r="9" spans="1:8" x14ac:dyDescent="0.4">
      <c r="A9" t="s">
        <v>26</v>
      </c>
      <c r="B9">
        <v>9204</v>
      </c>
      <c r="C9" t="s">
        <v>13</v>
      </c>
      <c r="D9" t="s">
        <v>29</v>
      </c>
      <c r="E9">
        <v>2023</v>
      </c>
      <c r="F9">
        <v>48.46</v>
      </c>
      <c r="G9">
        <v>385</v>
      </c>
      <c r="H9">
        <v>2</v>
      </c>
    </row>
    <row r="10" spans="1:8" x14ac:dyDescent="0.4">
      <c r="A10" t="s">
        <v>26</v>
      </c>
      <c r="B10">
        <v>9202</v>
      </c>
      <c r="C10" t="s">
        <v>31</v>
      </c>
      <c r="D10" t="s">
        <v>29</v>
      </c>
      <c r="E10">
        <v>2023</v>
      </c>
      <c r="F10">
        <v>66.849999999999994</v>
      </c>
      <c r="G10">
        <v>318</v>
      </c>
      <c r="H10">
        <v>4</v>
      </c>
    </row>
    <row r="11" spans="1:8" x14ac:dyDescent="0.4">
      <c r="A11" t="s">
        <v>26</v>
      </c>
      <c r="B11">
        <v>9206</v>
      </c>
      <c r="C11" t="s">
        <v>32</v>
      </c>
      <c r="D11" t="s">
        <v>29</v>
      </c>
      <c r="E11">
        <v>2023</v>
      </c>
      <c r="F11">
        <v>40.880000000000003</v>
      </c>
      <c r="G11">
        <v>396</v>
      </c>
      <c r="H11">
        <v>1</v>
      </c>
    </row>
    <row r="12" spans="1:8" x14ac:dyDescent="0.4">
      <c r="A12" t="s">
        <v>26</v>
      </c>
      <c r="B12">
        <v>9207</v>
      </c>
      <c r="C12" t="s">
        <v>33</v>
      </c>
      <c r="D12" t="s">
        <v>29</v>
      </c>
      <c r="E12">
        <v>2023</v>
      </c>
      <c r="F12">
        <v>32.93</v>
      </c>
      <c r="G12">
        <v>399</v>
      </c>
      <c r="H12">
        <v>1</v>
      </c>
    </row>
    <row r="13" spans="1:8" x14ac:dyDescent="0.4">
      <c r="A13" t="s">
        <v>26</v>
      </c>
      <c r="B13">
        <v>9208</v>
      </c>
      <c r="C13" t="s">
        <v>34</v>
      </c>
      <c r="D13" t="s">
        <v>29</v>
      </c>
      <c r="E13">
        <v>2023</v>
      </c>
      <c r="F13">
        <v>47.12</v>
      </c>
      <c r="G13">
        <v>389</v>
      </c>
      <c r="H13">
        <v>2</v>
      </c>
    </row>
    <row r="14" spans="1:8" x14ac:dyDescent="0.4">
      <c r="A14" t="s">
        <v>26</v>
      </c>
      <c r="B14">
        <v>9203</v>
      </c>
      <c r="C14" t="s">
        <v>35</v>
      </c>
      <c r="D14" t="s">
        <v>29</v>
      </c>
      <c r="E14">
        <v>2023</v>
      </c>
      <c r="F14">
        <v>47.32</v>
      </c>
      <c r="G14">
        <v>388</v>
      </c>
      <c r="H14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6D55-A1F1-DB4A-85C9-45CBFEEC2DBA}">
  <dimension ref="A1:E7"/>
  <sheetViews>
    <sheetView zoomScale="125" workbookViewId="0">
      <selection activeCell="E13" sqref="E13"/>
    </sheetView>
  </sheetViews>
  <sheetFormatPr defaultColWidth="10.6640625" defaultRowHeight="16" x14ac:dyDescent="0.4"/>
  <sheetData>
    <row r="1" spans="1:5" x14ac:dyDescent="0.4">
      <c r="A1" t="s">
        <v>66</v>
      </c>
      <c r="B1" t="s">
        <v>67</v>
      </c>
      <c r="C1" t="s">
        <v>68</v>
      </c>
      <c r="D1">
        <v>2025</v>
      </c>
      <c r="E1" t="s">
        <v>69</v>
      </c>
    </row>
    <row r="2" spans="1:5" x14ac:dyDescent="0.4">
      <c r="A2">
        <v>1</v>
      </c>
      <c r="B2" t="s">
        <v>16</v>
      </c>
      <c r="C2">
        <v>229.98</v>
      </c>
      <c r="D2">
        <v>253.41</v>
      </c>
      <c r="E2" t="s">
        <v>70</v>
      </c>
    </row>
    <row r="3" spans="1:5" x14ac:dyDescent="0.4">
      <c r="A3">
        <v>2</v>
      </c>
      <c r="B3" t="s">
        <v>11</v>
      </c>
      <c r="C3">
        <v>192.29</v>
      </c>
      <c r="D3">
        <v>245.97</v>
      </c>
      <c r="E3" t="s">
        <v>70</v>
      </c>
    </row>
    <row r="4" spans="1:5" x14ac:dyDescent="0.4">
      <c r="A4">
        <v>3</v>
      </c>
      <c r="B4" t="s">
        <v>12</v>
      </c>
      <c r="C4">
        <v>230.21</v>
      </c>
      <c r="D4">
        <v>240.53</v>
      </c>
      <c r="E4" t="s">
        <v>70</v>
      </c>
    </row>
    <row r="5" spans="1:5" x14ac:dyDescent="0.4">
      <c r="A5">
        <v>4</v>
      </c>
      <c r="B5" t="s">
        <v>15</v>
      </c>
      <c r="C5">
        <v>224.21</v>
      </c>
      <c r="D5">
        <v>226.37</v>
      </c>
      <c r="E5" t="s">
        <v>70</v>
      </c>
    </row>
    <row r="6" spans="1:5" x14ac:dyDescent="0.4">
      <c r="A6">
        <v>5</v>
      </c>
      <c r="B6" t="s">
        <v>13</v>
      </c>
      <c r="C6">
        <v>218.69</v>
      </c>
      <c r="D6">
        <v>221.33</v>
      </c>
      <c r="E6" t="s">
        <v>70</v>
      </c>
    </row>
    <row r="7" spans="1:5" x14ac:dyDescent="0.4">
      <c r="A7">
        <v>6</v>
      </c>
      <c r="B7" t="s">
        <v>14</v>
      </c>
      <c r="C7">
        <v>198.53</v>
      </c>
      <c r="D7">
        <v>197.09</v>
      </c>
      <c r="E7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939E-0D34-3244-96B9-2AA12BF9E7E4}">
  <dimension ref="A1"/>
  <sheetViews>
    <sheetView zoomScale="162" workbookViewId="0">
      <selection activeCell="A2" sqref="A2"/>
    </sheetView>
  </sheetViews>
  <sheetFormatPr defaultColWidth="10.6640625" defaultRowHeight="16" x14ac:dyDescent="0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BFB2-543E-2849-BE11-D677A78D26D9}">
  <dimension ref="A1:M14"/>
  <sheetViews>
    <sheetView zoomScale="125" workbookViewId="0">
      <selection activeCell="B19" sqref="B19"/>
    </sheetView>
  </sheetViews>
  <sheetFormatPr defaultColWidth="10.6640625" defaultRowHeight="16" x14ac:dyDescent="0.4"/>
  <cols>
    <col min="1" max="1" width="19.5" customWidth="1"/>
  </cols>
  <sheetData>
    <row r="1" spans="1:13" ht="64" x14ac:dyDescent="0.4">
      <c r="A1" s="3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</row>
    <row r="2" spans="1:13" x14ac:dyDescent="0.4">
      <c r="A2" t="s">
        <v>85</v>
      </c>
    </row>
    <row r="3" spans="1:13" x14ac:dyDescent="0.4">
      <c r="A3" t="s">
        <v>11</v>
      </c>
      <c r="B3">
        <v>1</v>
      </c>
      <c r="C3">
        <v>1</v>
      </c>
      <c r="D3" t="s">
        <v>86</v>
      </c>
      <c r="E3" t="s">
        <v>86</v>
      </c>
      <c r="F3" t="s">
        <v>86</v>
      </c>
      <c r="G3" t="s">
        <v>86</v>
      </c>
      <c r="H3">
        <v>22</v>
      </c>
      <c r="I3">
        <v>22</v>
      </c>
      <c r="J3">
        <v>56</v>
      </c>
      <c r="K3">
        <v>53</v>
      </c>
      <c r="L3">
        <v>3</v>
      </c>
      <c r="M3">
        <v>3</v>
      </c>
    </row>
    <row r="4" spans="1:13" x14ac:dyDescent="0.4">
      <c r="A4" t="s">
        <v>12</v>
      </c>
      <c r="B4">
        <v>1</v>
      </c>
      <c r="C4">
        <v>1</v>
      </c>
      <c r="D4" t="s">
        <v>86</v>
      </c>
      <c r="E4" t="s">
        <v>86</v>
      </c>
      <c r="F4">
        <v>6</v>
      </c>
      <c r="G4">
        <v>6</v>
      </c>
      <c r="H4">
        <v>25</v>
      </c>
      <c r="I4">
        <v>23</v>
      </c>
      <c r="J4">
        <v>43</v>
      </c>
      <c r="K4">
        <v>52</v>
      </c>
      <c r="L4">
        <v>15</v>
      </c>
      <c r="M4">
        <v>16</v>
      </c>
    </row>
    <row r="5" spans="1:13" x14ac:dyDescent="0.4">
      <c r="A5" t="s">
        <v>13</v>
      </c>
      <c r="B5">
        <v>1</v>
      </c>
      <c r="C5">
        <v>1</v>
      </c>
      <c r="D5" t="s">
        <v>86</v>
      </c>
      <c r="E5" t="s">
        <v>86</v>
      </c>
      <c r="F5">
        <v>1</v>
      </c>
      <c r="G5">
        <v>1</v>
      </c>
      <c r="H5">
        <v>16</v>
      </c>
      <c r="I5">
        <v>16</v>
      </c>
      <c r="J5">
        <v>44</v>
      </c>
      <c r="K5">
        <v>45</v>
      </c>
      <c r="L5">
        <v>7</v>
      </c>
      <c r="M5">
        <v>7</v>
      </c>
    </row>
    <row r="6" spans="1:13" x14ac:dyDescent="0.4">
      <c r="A6" t="s">
        <v>14</v>
      </c>
      <c r="B6">
        <v>1</v>
      </c>
      <c r="C6">
        <v>1</v>
      </c>
      <c r="D6" t="s">
        <v>86</v>
      </c>
      <c r="E6" t="s">
        <v>86</v>
      </c>
      <c r="F6">
        <v>1</v>
      </c>
      <c r="G6">
        <v>1</v>
      </c>
      <c r="H6">
        <v>17</v>
      </c>
      <c r="I6">
        <v>17</v>
      </c>
      <c r="J6">
        <v>29</v>
      </c>
      <c r="K6">
        <v>24</v>
      </c>
      <c r="L6">
        <v>4</v>
      </c>
      <c r="M6">
        <v>4</v>
      </c>
    </row>
    <row r="7" spans="1:13" x14ac:dyDescent="0.4">
      <c r="A7" t="s">
        <v>15</v>
      </c>
      <c r="B7">
        <v>1</v>
      </c>
      <c r="C7">
        <v>1</v>
      </c>
      <c r="D7" t="s">
        <v>86</v>
      </c>
      <c r="E7" t="s">
        <v>86</v>
      </c>
      <c r="F7" t="s">
        <v>86</v>
      </c>
      <c r="G7" t="s">
        <v>86</v>
      </c>
      <c r="H7">
        <v>14</v>
      </c>
      <c r="I7">
        <v>16</v>
      </c>
      <c r="J7">
        <v>8</v>
      </c>
      <c r="K7">
        <v>10</v>
      </c>
      <c r="L7">
        <v>2</v>
      </c>
      <c r="M7">
        <v>3</v>
      </c>
    </row>
    <row r="8" spans="1:13" x14ac:dyDescent="0.4">
      <c r="A8" t="s">
        <v>87</v>
      </c>
    </row>
    <row r="9" spans="1:13" x14ac:dyDescent="0.4">
      <c r="A9" t="s">
        <v>16</v>
      </c>
      <c r="B9">
        <v>7</v>
      </c>
      <c r="C9">
        <v>7</v>
      </c>
      <c r="D9" t="s">
        <v>86</v>
      </c>
      <c r="E9" t="s">
        <v>86</v>
      </c>
      <c r="F9">
        <v>7</v>
      </c>
      <c r="G9">
        <v>7</v>
      </c>
      <c r="H9">
        <v>10</v>
      </c>
      <c r="I9">
        <v>11</v>
      </c>
      <c r="J9">
        <v>22</v>
      </c>
      <c r="K9">
        <v>22</v>
      </c>
      <c r="L9">
        <v>27</v>
      </c>
      <c r="M9">
        <v>30</v>
      </c>
    </row>
    <row r="10" spans="1:13" x14ac:dyDescent="0.4">
      <c r="A10" t="s">
        <v>88</v>
      </c>
      <c r="B10">
        <v>12</v>
      </c>
      <c r="C10">
        <v>12</v>
      </c>
      <c r="D10" t="s">
        <v>86</v>
      </c>
      <c r="E10" t="s">
        <v>86</v>
      </c>
      <c r="F10">
        <v>15</v>
      </c>
      <c r="G10">
        <v>15</v>
      </c>
      <c r="H10">
        <v>104</v>
      </c>
      <c r="I10">
        <v>105</v>
      </c>
      <c r="J10">
        <v>202</v>
      </c>
      <c r="K10">
        <v>206</v>
      </c>
      <c r="L10">
        <v>58</v>
      </c>
      <c r="M10">
        <v>63</v>
      </c>
    </row>
    <row r="14" spans="1:13" x14ac:dyDescent="0.4">
      <c r="A14" t="s">
        <v>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4117-F22C-FA47-8D85-B9FF5613CE71}">
  <dimension ref="A1:O17"/>
  <sheetViews>
    <sheetView zoomScale="85" zoomScaleNormal="85" workbookViewId="0">
      <selection activeCell="L3" sqref="L3"/>
    </sheetView>
  </sheetViews>
  <sheetFormatPr defaultColWidth="10.6640625" defaultRowHeight="16" x14ac:dyDescent="0.4"/>
  <cols>
    <col min="11" max="13" width="13.6640625" customWidth="1"/>
  </cols>
  <sheetData>
    <row r="1" spans="1:15" ht="48" x14ac:dyDescent="0.4">
      <c r="A1" s="2" t="s">
        <v>72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117</v>
      </c>
      <c r="M1" s="2" t="s">
        <v>118</v>
      </c>
      <c r="N1" s="2" t="s">
        <v>100</v>
      </c>
      <c r="O1" s="2" t="s">
        <v>101</v>
      </c>
    </row>
    <row r="2" spans="1:15" x14ac:dyDescent="0.4">
      <c r="A2" t="s">
        <v>85</v>
      </c>
    </row>
    <row r="3" spans="1:15" x14ac:dyDescent="0.4">
      <c r="A3" t="s">
        <v>11</v>
      </c>
      <c r="B3">
        <v>9.86</v>
      </c>
      <c r="C3">
        <v>18.309999999999999</v>
      </c>
      <c r="D3">
        <v>43.07</v>
      </c>
      <c r="E3">
        <v>36.020000000000003</v>
      </c>
      <c r="F3" t="s">
        <v>102</v>
      </c>
      <c r="G3" t="s">
        <v>102</v>
      </c>
      <c r="H3">
        <v>39.69</v>
      </c>
      <c r="I3">
        <v>33.200000000000003</v>
      </c>
      <c r="J3" t="s">
        <v>102</v>
      </c>
      <c r="K3">
        <v>9.7799999999999994</v>
      </c>
      <c r="L3">
        <f>C3+E3</f>
        <v>54.33</v>
      </c>
      <c r="M3">
        <f>100-L3</f>
        <v>45.67</v>
      </c>
      <c r="N3">
        <v>100</v>
      </c>
      <c r="O3">
        <v>100</v>
      </c>
    </row>
    <row r="4" spans="1:15" x14ac:dyDescent="0.4">
      <c r="A4" t="s">
        <v>12</v>
      </c>
      <c r="B4">
        <v>51.44</v>
      </c>
      <c r="C4">
        <v>45.13</v>
      </c>
      <c r="D4">
        <v>39.43</v>
      </c>
      <c r="E4">
        <v>49.66</v>
      </c>
      <c r="F4" t="s">
        <v>102</v>
      </c>
      <c r="G4" t="s">
        <v>102</v>
      </c>
      <c r="H4" t="s">
        <v>102</v>
      </c>
      <c r="I4" t="s">
        <v>102</v>
      </c>
      <c r="J4" t="s">
        <v>102</v>
      </c>
      <c r="K4" t="s">
        <v>103</v>
      </c>
      <c r="L4">
        <f>C4+E4</f>
        <v>94.789999999999992</v>
      </c>
      <c r="M4">
        <f t="shared" ref="M4:M10" si="0">100-L4</f>
        <v>5.210000000000008</v>
      </c>
      <c r="N4">
        <v>100</v>
      </c>
      <c r="O4">
        <v>100</v>
      </c>
    </row>
    <row r="5" spans="1:15" x14ac:dyDescent="0.4">
      <c r="A5" t="s">
        <v>13</v>
      </c>
      <c r="B5">
        <v>8.48</v>
      </c>
      <c r="C5">
        <v>10.57</v>
      </c>
      <c r="D5">
        <v>21.18</v>
      </c>
      <c r="E5">
        <v>37.72</v>
      </c>
      <c r="F5">
        <v>15.41</v>
      </c>
      <c r="G5">
        <v>11.83</v>
      </c>
      <c r="H5">
        <v>46.42</v>
      </c>
      <c r="I5">
        <v>26.44</v>
      </c>
      <c r="J5">
        <v>8.52</v>
      </c>
      <c r="K5">
        <v>13.44</v>
      </c>
      <c r="L5">
        <f t="shared" ref="L5:L10" si="1">C5+E5+G5</f>
        <v>60.12</v>
      </c>
      <c r="M5">
        <f t="shared" si="0"/>
        <v>39.880000000000003</v>
      </c>
      <c r="N5">
        <v>100</v>
      </c>
      <c r="O5">
        <v>100</v>
      </c>
    </row>
    <row r="6" spans="1:15" x14ac:dyDescent="0.4">
      <c r="A6" t="s">
        <v>14</v>
      </c>
      <c r="B6">
        <v>60.16</v>
      </c>
      <c r="C6" t="s">
        <v>102</v>
      </c>
      <c r="D6">
        <v>23.84</v>
      </c>
      <c r="E6">
        <v>52.15</v>
      </c>
      <c r="F6">
        <v>12.07</v>
      </c>
      <c r="G6">
        <v>19.75</v>
      </c>
      <c r="H6" t="s">
        <v>102</v>
      </c>
      <c r="I6" t="s">
        <v>103</v>
      </c>
      <c r="J6" t="s">
        <v>103</v>
      </c>
      <c r="K6" t="s">
        <v>102</v>
      </c>
      <c r="L6">
        <f>E6+G6</f>
        <v>71.900000000000006</v>
      </c>
      <c r="M6">
        <f t="shared" si="0"/>
        <v>28.099999999999994</v>
      </c>
      <c r="N6">
        <v>100</v>
      </c>
      <c r="O6">
        <v>100</v>
      </c>
    </row>
    <row r="7" spans="1:15" x14ac:dyDescent="0.4">
      <c r="A7" t="s">
        <v>15</v>
      </c>
      <c r="B7">
        <v>12.09</v>
      </c>
      <c r="C7">
        <v>5.95</v>
      </c>
      <c r="D7">
        <v>55.34</v>
      </c>
      <c r="E7">
        <v>61.61</v>
      </c>
      <c r="F7" t="s">
        <v>102</v>
      </c>
      <c r="G7" t="s">
        <v>102</v>
      </c>
      <c r="H7">
        <v>13.22</v>
      </c>
      <c r="I7">
        <v>19.68</v>
      </c>
      <c r="J7">
        <v>17.27</v>
      </c>
      <c r="K7">
        <v>9.81</v>
      </c>
      <c r="L7">
        <f>C7+E7</f>
        <v>67.56</v>
      </c>
      <c r="M7">
        <f t="shared" si="0"/>
        <v>32.44</v>
      </c>
      <c r="N7">
        <v>100</v>
      </c>
      <c r="O7">
        <v>100</v>
      </c>
    </row>
    <row r="9" spans="1:15" x14ac:dyDescent="0.4">
      <c r="A9" t="s">
        <v>16</v>
      </c>
      <c r="B9">
        <v>53.73</v>
      </c>
      <c r="C9">
        <v>38.33</v>
      </c>
      <c r="D9">
        <v>39.68</v>
      </c>
      <c r="E9">
        <v>54.59</v>
      </c>
      <c r="F9" t="s">
        <v>103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>
        <f>C9+E9</f>
        <v>92.92</v>
      </c>
      <c r="M9">
        <f t="shared" si="0"/>
        <v>7.0799999999999983</v>
      </c>
      <c r="N9">
        <v>100</v>
      </c>
      <c r="O9">
        <v>100</v>
      </c>
    </row>
    <row r="10" spans="1:15" x14ac:dyDescent="0.4">
      <c r="A10" t="s">
        <v>88</v>
      </c>
      <c r="B10">
        <v>43.05</v>
      </c>
      <c r="C10">
        <v>31.76</v>
      </c>
      <c r="D10">
        <v>37.64</v>
      </c>
      <c r="E10">
        <v>49.88</v>
      </c>
      <c r="F10">
        <v>3.27</v>
      </c>
      <c r="G10">
        <v>3.98</v>
      </c>
      <c r="H10">
        <v>11.55</v>
      </c>
      <c r="I10">
        <v>10.01</v>
      </c>
      <c r="J10">
        <v>4.49</v>
      </c>
      <c r="K10">
        <v>4.38</v>
      </c>
      <c r="L10">
        <f t="shared" si="1"/>
        <v>85.62</v>
      </c>
      <c r="M10">
        <f t="shared" si="0"/>
        <v>14.379999999999995</v>
      </c>
      <c r="N10">
        <v>100</v>
      </c>
      <c r="O10">
        <v>100</v>
      </c>
    </row>
    <row r="14" spans="1:15" ht="409.5" x14ac:dyDescent="0.4">
      <c r="A14" s="1" t="s">
        <v>104</v>
      </c>
    </row>
    <row r="17" spans="1:1" x14ac:dyDescent="0.4">
      <c r="A17" t="s">
        <v>106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A0A9-FF19-434E-9D5B-F21700587908}">
  <dimension ref="A1:G12"/>
  <sheetViews>
    <sheetView topLeftCell="A5" zoomScale="144" workbookViewId="0">
      <selection activeCell="E1" sqref="E1:G1"/>
    </sheetView>
  </sheetViews>
  <sheetFormatPr defaultColWidth="10.6640625" defaultRowHeight="16" x14ac:dyDescent="0.4"/>
  <cols>
    <col min="1" max="1" width="18.6640625" customWidth="1"/>
    <col min="3" max="3" width="12.1640625" customWidth="1"/>
  </cols>
  <sheetData>
    <row r="1" spans="1:7" ht="80" x14ac:dyDescent="0.4">
      <c r="A1" s="2" t="s">
        <v>72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</row>
    <row r="2" spans="1:7" x14ac:dyDescent="0.4">
      <c r="A2" t="s">
        <v>11</v>
      </c>
      <c r="B2">
        <v>108</v>
      </c>
      <c r="C2">
        <v>108</v>
      </c>
      <c r="D2">
        <v>0</v>
      </c>
      <c r="E2">
        <v>117.91</v>
      </c>
      <c r="F2">
        <v>15.99</v>
      </c>
      <c r="G2">
        <v>81.349999999999994</v>
      </c>
    </row>
    <row r="3" spans="1:7" x14ac:dyDescent="0.4">
      <c r="A3" t="s">
        <v>12</v>
      </c>
      <c r="B3">
        <v>529</v>
      </c>
      <c r="C3">
        <v>529</v>
      </c>
      <c r="D3">
        <v>23</v>
      </c>
      <c r="E3">
        <v>72.25</v>
      </c>
      <c r="F3">
        <v>9.61</v>
      </c>
      <c r="G3">
        <v>77.97</v>
      </c>
    </row>
    <row r="4" spans="1:7" x14ac:dyDescent="0.4">
      <c r="A4" t="s">
        <v>13</v>
      </c>
      <c r="B4">
        <v>350</v>
      </c>
      <c r="C4">
        <v>350</v>
      </c>
      <c r="D4">
        <v>54</v>
      </c>
      <c r="E4">
        <v>19.28</v>
      </c>
      <c r="F4">
        <v>1.99</v>
      </c>
      <c r="G4">
        <v>10.66</v>
      </c>
    </row>
    <row r="5" spans="1:7" x14ac:dyDescent="0.4">
      <c r="A5" t="s">
        <v>14</v>
      </c>
      <c r="B5">
        <v>16</v>
      </c>
      <c r="C5">
        <v>16</v>
      </c>
      <c r="D5" t="s">
        <v>103</v>
      </c>
      <c r="E5">
        <v>28.85</v>
      </c>
      <c r="F5">
        <v>0.48</v>
      </c>
      <c r="G5">
        <v>12.76</v>
      </c>
    </row>
    <row r="6" spans="1:7" x14ac:dyDescent="0.4">
      <c r="A6" t="s">
        <v>15</v>
      </c>
      <c r="B6">
        <v>13</v>
      </c>
      <c r="C6">
        <v>13</v>
      </c>
      <c r="D6" t="s">
        <v>103</v>
      </c>
      <c r="E6">
        <v>139.38</v>
      </c>
      <c r="F6">
        <v>24.13</v>
      </c>
      <c r="G6">
        <v>15.4</v>
      </c>
    </row>
    <row r="7" spans="1:7" x14ac:dyDescent="0.4">
      <c r="A7" t="s">
        <v>16</v>
      </c>
      <c r="B7">
        <v>842</v>
      </c>
      <c r="C7">
        <v>842</v>
      </c>
      <c r="D7">
        <v>215</v>
      </c>
      <c r="E7">
        <v>52.24</v>
      </c>
      <c r="F7">
        <v>13.19</v>
      </c>
      <c r="G7">
        <v>15.4</v>
      </c>
    </row>
    <row r="8" spans="1:7" x14ac:dyDescent="0.4">
      <c r="A8" t="s">
        <v>88</v>
      </c>
      <c r="B8" s="6">
        <v>1858</v>
      </c>
      <c r="C8" s="6">
        <v>1858</v>
      </c>
      <c r="D8">
        <v>292</v>
      </c>
      <c r="E8">
        <v>59.42</v>
      </c>
      <c r="F8">
        <v>11.43</v>
      </c>
      <c r="G8">
        <v>33.33</v>
      </c>
    </row>
    <row r="12" spans="1:7" ht="192" x14ac:dyDescent="0.4">
      <c r="A12" s="1" t="s">
        <v>201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A39E-AD8E-4317-A4EE-1104D0C39EA3}">
  <dimension ref="A1:I16"/>
  <sheetViews>
    <sheetView workbookViewId="0">
      <selection activeCell="C19" sqref="C19"/>
    </sheetView>
  </sheetViews>
  <sheetFormatPr defaultRowHeight="16" x14ac:dyDescent="0.4"/>
  <cols>
    <col min="3" max="3" width="17.08203125" customWidth="1"/>
  </cols>
  <sheetData>
    <row r="1" spans="1:9" x14ac:dyDescent="0.4">
      <c r="A1" t="s">
        <v>113</v>
      </c>
      <c r="B1" t="s">
        <v>0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</row>
    <row r="2" spans="1:9" x14ac:dyDescent="0.4">
      <c r="A2">
        <v>1</v>
      </c>
      <c r="B2" t="s">
        <v>13</v>
      </c>
      <c r="C2">
        <v>563</v>
      </c>
      <c r="D2">
        <v>137</v>
      </c>
      <c r="E2">
        <v>24.33</v>
      </c>
      <c r="F2">
        <v>132</v>
      </c>
      <c r="G2">
        <v>23.45</v>
      </c>
      <c r="H2">
        <v>269</v>
      </c>
      <c r="I2">
        <v>47.78</v>
      </c>
    </row>
    <row r="3" spans="1:9" x14ac:dyDescent="0.4">
      <c r="A3">
        <v>2</v>
      </c>
      <c r="B3" t="s">
        <v>12</v>
      </c>
      <c r="C3">
        <v>495</v>
      </c>
      <c r="D3">
        <v>155</v>
      </c>
      <c r="E3">
        <v>31.31</v>
      </c>
      <c r="F3">
        <v>111</v>
      </c>
      <c r="G3">
        <v>22.42</v>
      </c>
      <c r="H3">
        <v>266</v>
      </c>
      <c r="I3">
        <v>53.74</v>
      </c>
    </row>
    <row r="4" spans="1:9" x14ac:dyDescent="0.4">
      <c r="A4">
        <v>3</v>
      </c>
      <c r="B4" t="s">
        <v>11</v>
      </c>
      <c r="C4">
        <v>258</v>
      </c>
      <c r="D4">
        <v>56</v>
      </c>
      <c r="E4">
        <v>21.71</v>
      </c>
      <c r="F4">
        <v>18</v>
      </c>
      <c r="G4">
        <v>6.98</v>
      </c>
      <c r="H4">
        <v>74</v>
      </c>
      <c r="I4">
        <v>28.68</v>
      </c>
    </row>
    <row r="5" spans="1:9" x14ac:dyDescent="0.4">
      <c r="A5">
        <v>4</v>
      </c>
      <c r="B5" t="s">
        <v>15</v>
      </c>
      <c r="C5">
        <v>36</v>
      </c>
      <c r="D5">
        <v>4</v>
      </c>
      <c r="E5">
        <v>11.11</v>
      </c>
      <c r="F5">
        <v>2</v>
      </c>
      <c r="G5">
        <v>5.56</v>
      </c>
      <c r="H5">
        <v>6</v>
      </c>
      <c r="I5">
        <v>16.670000000000002</v>
      </c>
    </row>
    <row r="6" spans="1:9" x14ac:dyDescent="0.4">
      <c r="A6">
        <v>5</v>
      </c>
      <c r="B6" t="s">
        <v>14</v>
      </c>
      <c r="C6">
        <v>36</v>
      </c>
      <c r="D6">
        <v>10</v>
      </c>
      <c r="E6">
        <v>27.78</v>
      </c>
      <c r="F6">
        <v>5</v>
      </c>
      <c r="G6">
        <v>13.89</v>
      </c>
      <c r="H6">
        <v>15</v>
      </c>
      <c r="I6">
        <v>41.67</v>
      </c>
    </row>
    <row r="7" spans="1:9" x14ac:dyDescent="0.4">
      <c r="A7">
        <v>6</v>
      </c>
      <c r="B7" t="s">
        <v>16</v>
      </c>
      <c r="C7" s="6">
        <v>1298</v>
      </c>
      <c r="D7">
        <v>311</v>
      </c>
      <c r="E7">
        <v>23.96</v>
      </c>
      <c r="F7">
        <v>212</v>
      </c>
      <c r="G7">
        <v>16.329999999999998</v>
      </c>
      <c r="H7">
        <v>523</v>
      </c>
      <c r="I7">
        <v>40.29</v>
      </c>
    </row>
    <row r="8" spans="1:9" x14ac:dyDescent="0.4">
      <c r="B8" t="s">
        <v>136</v>
      </c>
      <c r="C8" s="6">
        <v>2686</v>
      </c>
      <c r="D8">
        <v>673</v>
      </c>
      <c r="E8">
        <v>25.06</v>
      </c>
      <c r="F8">
        <v>480</v>
      </c>
      <c r="G8">
        <v>17.87</v>
      </c>
      <c r="H8" s="6">
        <v>1153</v>
      </c>
      <c r="I8">
        <v>42.93</v>
      </c>
    </row>
    <row r="13" spans="1:9" x14ac:dyDescent="0.4">
      <c r="C13" t="s">
        <v>199</v>
      </c>
    </row>
    <row r="14" spans="1:9" x14ac:dyDescent="0.4">
      <c r="C14" t="s">
        <v>134</v>
      </c>
    </row>
    <row r="16" spans="1:9" x14ac:dyDescent="0.4">
      <c r="C16" t="s">
        <v>200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5D15-9FEC-FD44-87F8-956AE3E60A05}">
  <dimension ref="A1:C15"/>
  <sheetViews>
    <sheetView workbookViewId="0">
      <selection activeCell="A15" sqref="A15"/>
    </sheetView>
  </sheetViews>
  <sheetFormatPr defaultColWidth="10.6640625" defaultRowHeight="16" x14ac:dyDescent="0.4"/>
  <cols>
    <col min="1" max="1" width="21.6640625" customWidth="1"/>
  </cols>
  <sheetData>
    <row r="1" spans="1:3" x14ac:dyDescent="0.4">
      <c r="A1" t="s">
        <v>72</v>
      </c>
      <c r="B1">
        <v>2024</v>
      </c>
      <c r="C1">
        <v>2025</v>
      </c>
    </row>
    <row r="3" spans="1:3" x14ac:dyDescent="0.4">
      <c r="A3" t="s">
        <v>11</v>
      </c>
      <c r="B3">
        <v>45.58</v>
      </c>
      <c r="C3">
        <v>37.94</v>
      </c>
    </row>
    <row r="4" spans="1:3" x14ac:dyDescent="0.4">
      <c r="A4" t="s">
        <v>12</v>
      </c>
      <c r="B4">
        <v>49.29</v>
      </c>
      <c r="C4">
        <v>51.55</v>
      </c>
    </row>
    <row r="5" spans="1:3" x14ac:dyDescent="0.4">
      <c r="A5" t="s">
        <v>13</v>
      </c>
      <c r="B5">
        <v>48.69</v>
      </c>
      <c r="C5">
        <v>50.38</v>
      </c>
    </row>
    <row r="6" spans="1:3" x14ac:dyDescent="0.4">
      <c r="A6" t="s">
        <v>14</v>
      </c>
      <c r="B6">
        <v>65.13</v>
      </c>
      <c r="C6">
        <v>60.46</v>
      </c>
    </row>
    <row r="7" spans="1:3" x14ac:dyDescent="0.4">
      <c r="A7" t="s">
        <v>15</v>
      </c>
      <c r="B7">
        <v>70.849999999999994</v>
      </c>
      <c r="C7">
        <v>71.8</v>
      </c>
    </row>
    <row r="8" spans="1:3" x14ac:dyDescent="0.4">
      <c r="A8" t="s">
        <v>87</v>
      </c>
    </row>
    <row r="9" spans="1:3" x14ac:dyDescent="0.4">
      <c r="A9" t="s">
        <v>16</v>
      </c>
      <c r="B9">
        <v>48.61</v>
      </c>
      <c r="C9">
        <v>56.61</v>
      </c>
    </row>
    <row r="10" spans="1:3" x14ac:dyDescent="0.4">
      <c r="A10" t="s">
        <v>88</v>
      </c>
      <c r="B10">
        <v>50.01</v>
      </c>
      <c r="C10">
        <v>53.98</v>
      </c>
    </row>
    <row r="15" spans="1:3" ht="128" x14ac:dyDescent="0.4">
      <c r="A15" s="1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AACE153181D04FBCB3AB9F09BD8BE7" ma:contentTypeVersion="13" ma:contentTypeDescription="Create a new document." ma:contentTypeScope="" ma:versionID="b7eecd0fb7ab5cf7724aaa6b1b52c95a">
  <xsd:schema xmlns:xsd="http://www.w3.org/2001/XMLSchema" xmlns:xs="http://www.w3.org/2001/XMLSchema" xmlns:p="http://schemas.microsoft.com/office/2006/metadata/properties" xmlns:ns2="b937e735-3473-4737-b51b-38dd2cf8902b" xmlns:ns3="3b3640e1-8479-4cc8-9e08-b77a32ace14e" targetNamespace="http://schemas.microsoft.com/office/2006/metadata/properties" ma:root="true" ma:fieldsID="6ee4df6066340d2a1f244850cf189d83" ns2:_="" ns3:_="">
    <xsd:import namespace="b937e735-3473-4737-b51b-38dd2cf8902b"/>
    <xsd:import namespace="3b3640e1-8479-4cc8-9e08-b77a32ace1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7e735-3473-4737-b51b-38dd2cf89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badb6-fd56-4ffc-a124-e81929b1d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640e1-8479-4cc8-9e08-b77a32ace1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27745c-d4dd-4865-a532-f202fc735da2}" ma:internalName="TaxCatchAll" ma:showField="CatchAllData" ma:web="3b3640e1-8479-4cc8-9e08-b77a32ace1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3640e1-8479-4cc8-9e08-b77a32ace14e" xsi:nil="true"/>
    <lcf76f155ced4ddcb4097134ff3c332f xmlns="b937e735-3473-4737-b51b-38dd2cf890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181D86-E852-4730-8405-AC8F08D2D0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888D55-9583-4B38-ABF7-6F4993CFDF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37e735-3473-4737-b51b-38dd2cf8902b"/>
    <ds:schemaRef ds:uri="3b3640e1-8479-4cc8-9e08-b77a32ace1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90BBC5-13F0-42D4-9512-F128439EC71B}">
  <ds:schemaRefs>
    <ds:schemaRef ds:uri="b937e735-3473-4737-b51b-38dd2cf8902b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3b3640e1-8479-4cc8-9e08-b77a32ace14e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1067652-e594-4683-81e3-2cbf4d08314b}" enabled="1" method="Privileged" siteId="{dd4b51f9-ee38-4f0d-87d3-0fcc190484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Compile</vt:lpstr>
      <vt:lpstr>Heatmap</vt:lpstr>
      <vt:lpstr>KN</vt:lpstr>
      <vt:lpstr>PKM</vt:lpstr>
      <vt:lpstr>Nakes</vt:lpstr>
      <vt:lpstr>Stunting2024</vt:lpstr>
      <vt:lpstr>TalakResp</vt:lpstr>
      <vt:lpstr>ANC</vt:lpstr>
      <vt:lpstr>ANC2</vt:lpstr>
      <vt:lpstr>BirthFaskes</vt:lpstr>
      <vt:lpstr>IKP</vt:lpstr>
      <vt:lpstr>IRBI2025</vt:lpstr>
      <vt:lpstr>OtherInfo</vt:lpstr>
      <vt:lpstr>Faskes</vt:lpstr>
      <vt:lpstr>BirthNakes</vt:lpstr>
      <vt:lpstr>Diseases</vt:lpstr>
      <vt:lpstr>TBCTreatment</vt:lpstr>
      <vt:lpstr>IDL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Vincentius Arca</dc:creator>
  <cp:lastModifiedBy>Vincentius Arca</cp:lastModifiedBy>
  <dcterms:created xsi:type="dcterms:W3CDTF">2026-08-18T05:30:37Z</dcterms:created>
  <dcterms:modified xsi:type="dcterms:W3CDTF">2026-08-26T07:52:04Z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0x01010084AACE153181D04FBCB3AB9F09BD8BE7</vt:lpwstr>
  </property>
  <property fmtid="{D5CDD505-2E9C-101B-9397-08002B2CF9AE}" pid="3" name="MediaServiceImageTags">
    <vt:lpwstr/>
  </property>
</Properties>
</file>